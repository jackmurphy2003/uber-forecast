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umptions" sheetId="1" r:id="rId5"/>
    <sheet state="visible" name="Consolidated" sheetId="2" r:id="rId6"/>
    <sheet state="visible" name="Segment - Gross Bookings" sheetId="3" r:id="rId7"/>
    <sheet state="visible" name="Segment - Revenue" sheetId="4" r:id="rId8"/>
    <sheet state="visible" name="Segment - Adj EBITDA" sheetId="5" r:id="rId9"/>
    <sheet state="visible" name="Segment - NGOP" sheetId="6" r:id="rId10"/>
    <sheet state="visible" name="Notes" sheetId="7" r:id="rId11"/>
  </sheets>
  <definedNames/>
  <calcPr/>
</workbook>
</file>

<file path=xl/sharedStrings.xml><?xml version="1.0" encoding="utf-8"?>
<sst xmlns="http://schemas.openxmlformats.org/spreadsheetml/2006/main" count="388" uniqueCount="183">
  <si>
    <t>UBER TECHNOLOGIES - CONSOLIDATED QUARTERLY P&amp;L</t>
  </si>
  <si>
    <t>UBER Q2'26F FORECAST ASSUMPTIONS</t>
  </si>
  <si>
    <t>UBER TECHNOLOGIES - SEGMENT GROSS BOOKINGS ($M)</t>
  </si>
  <si>
    <t>Quarter</t>
  </si>
  <si>
    <t>Mobility ($M)</t>
  </si>
  <si>
    <t>MAPCs (M)</t>
  </si>
  <si>
    <t>Assumption</t>
  </si>
  <si>
    <t>Delivery ($M)</t>
  </si>
  <si>
    <t>Trips (M)</t>
  </si>
  <si>
    <t>Freight ($M)</t>
  </si>
  <si>
    <t>Trips / MAPC</t>
  </si>
  <si>
    <t>Total ($M)</t>
  </si>
  <si>
    <t>GB / Trip ($)</t>
  </si>
  <si>
    <t>Check vs Consol.</t>
  </si>
  <si>
    <t>Gross Bookings ($M)</t>
  </si>
  <si>
    <t>HISTORICAL ACTUALS (Q2 2023 – Q1 2026)</t>
  </si>
  <si>
    <t>Revenue ($M)</t>
  </si>
  <si>
    <t>Take Rate</t>
  </si>
  <si>
    <t>EBITDA Margin</t>
  </si>
  <si>
    <t>Adj EBITDA ($M)</t>
  </si>
  <si>
    <t>Value</t>
  </si>
  <si>
    <t>Q2'23</t>
  </si>
  <si>
    <t>Non-GAAP OI ($M)</t>
  </si>
  <si>
    <t>UBER TECHNOLOGIES - SEGMENT REVENUE &amp; TAKE RATES ($M | %)</t>
  </si>
  <si>
    <t>Defense / Source</t>
  </si>
  <si>
    <t>OI / EBITDA</t>
  </si>
  <si>
    <t>1. PLATFORM DRIVERS</t>
  </si>
  <si>
    <t>Net Income ($M)</t>
  </si>
  <si>
    <t>Revenue Margin = Segment Rev / Segment GB. CAUTION: Q2'24, Q3'24, Q1'26 take rates distorted by contra-revenue reclassification of S&amp;M costs — not organic.</t>
  </si>
  <si>
    <t>Source</t>
  </si>
  <si>
    <t>MAPCs YoY Growth Rate</t>
  </si>
  <si>
    <t>—</t>
  </si>
  <si>
    <t>Q1'26 actual +17.06%. The earnings call signals continued growth from: Uber One 50M members +50% YoY, 7 new intl markets in Q1'26, insurance-driven US price reductions driving new users.</t>
  </si>
  <si>
    <t>Q3'23</t>
  </si>
  <si>
    <t>Q2'25 MAPCs (base — actual)</t>
  </si>
  <si>
    <t>Mob Take Rate</t>
  </si>
  <si>
    <t>Del Take Rate</t>
  </si>
  <si>
    <t>Frt Take Rate</t>
  </si>
  <si>
    <t>Q2'25 actual from press release.</t>
  </si>
  <si>
    <t>Q2'26F MAPCs (derived)</t>
  </si>
  <si>
    <t>Q2'24 PR (prior-year column), p.2</t>
  </si>
  <si>
    <t>Base MAPCs x (1 + growth rate). 180 x 1.175 = 211.5</t>
  </si>
  <si>
    <t>Q4'23</t>
  </si>
  <si>
    <t>Q1'24</t>
  </si>
  <si>
    <t>Monthly Trips per MAPC YoY Growth</t>
  </si>
  <si>
    <t>Consistent +3% YoY for 4+ consecutive quarters. Balaji Q1'26 call: 'insurance price reductions translating to trip acceleration.</t>
  </si>
  <si>
    <t>Q2'24</t>
  </si>
  <si>
    <t>Q2'25 Trips/MAPC (base — actual)</t>
  </si>
  <si>
    <t>6.05x</t>
  </si>
  <si>
    <t>Q2'25 actual: 3,268M / 180M / 3 = 6.05.</t>
  </si>
  <si>
    <t>Q3'24</t>
  </si>
  <si>
    <t>Q2'26F Trips/MAPC (derived)</t>
  </si>
  <si>
    <t>6.23x</t>
  </si>
  <si>
    <t>6.05 x 1.03 = 6.23 monthly trips per MAPC.</t>
  </si>
  <si>
    <t>Q2'26F Total Trips (derived, M)</t>
  </si>
  <si>
    <t>Q4'24</t>
  </si>
  <si>
    <t>Derived: MAPCs x Monthly Trips/MAPC x 3 months.</t>
  </si>
  <si>
    <t>Q1'25</t>
  </si>
  <si>
    <t>Q3'24 PR (prior-year column), p.2-3</t>
  </si>
  <si>
    <t>GB per Trip — 12-Qtr Historical Mean</t>
  </si>
  <si>
    <t>Q2'25</t>
  </si>
  <si>
    <t>Range-bound $14.10–$14.75 over 12 quarters with no directional trend. Historical mean = $14.43</t>
  </si>
  <si>
    <t>Q2'26F Total Gross Bookings (derived, $M)</t>
  </si>
  <si>
    <t>Q3'25</t>
  </si>
  <si>
    <t>Q4'24 PR (prior-year column), p.2-3. Non-GAAP OI not disclosed in Q4'24 PR.</t>
  </si>
  <si>
    <t>Q4'25</t>
  </si>
  <si>
    <t>Q1'26</t>
  </si>
  <si>
    <t>Q1'25 PR (prior-year column), p.2-3</t>
  </si>
  <si>
    <t>Q2'26F FORECAST</t>
  </si>
  <si>
    <t>Q2'26F</t>
  </si>
  <si>
    <t>Derived: Total Trips x GB per Trip.</t>
  </si>
  <si>
    <t>Q2'24 PR, p.2. NOTE: Take rate impacted by contra-revenue reclassification of S&amp;M costs</t>
  </si>
  <si>
    <t>2. CONSOLIDATED P&amp;L</t>
  </si>
  <si>
    <t>Consolidated Take Rate</t>
  </si>
  <si>
    <t>Q3'24 PR, p.2-3. NOTE: Mobility take rate impacted -150bps by reclassification</t>
  </si>
  <si>
    <t xml:space="preserve">Q2'25 comparable (27.1%). Q1'26 at 24.6% treated as outlier due to contra-revenue reclassification. </t>
  </si>
  <si>
    <t>EBITDA Margin — ACTIVE SCENARIO (edit to toggle)</t>
  </si>
  <si>
    <t>Q4'24 PR, p.2-3. Non-GAAP OI ($1,318M) from Q4'25 PR comparison. GAAP NI incl $6.4B tax release</t>
  </si>
  <si>
    <t>HISTORICAL PERCENTAGES (Q2 2023 – Q1 2026)</t>
  </si>
  <si>
    <t>Q1'25 PR, p.2-3. Non-GAAP OI retroactively disclosed in Q1'26 PR</t>
  </si>
  <si>
    <t>Base case 4.85%. Change to 4.75% (Bear) or 4.96% (Bull).</t>
  </si>
  <si>
    <t>Q2'26F Adj EBITDA (derived, $M)</t>
  </si>
  <si>
    <t>Q2'25 PR, p.2-3</t>
  </si>
  <si>
    <t>Q3'25 PR, p.2-3. GAAP NI incl $4.9B one-time tax release — not operational</t>
  </si>
  <si>
    <t>Total GB x Active EBITDA Margin.</t>
  </si>
  <si>
    <t>3. EBITDA MARGIN SCENARIOS</t>
  </si>
  <si>
    <t>Scenario</t>
  </si>
  <si>
    <t>Q4'25 PR, p.2-3. GAAP NI suppressed by $1.6B equity revaluation headwind</t>
  </si>
  <si>
    <t>Adj EBITDA ($M) | Guidance: $2,700–$2,800M</t>
  </si>
  <si>
    <t>Bear — 4.75%</t>
  </si>
  <si>
    <t>Q1'26 PR, p.2-3. NOTE: Mobility rev +5% vs GB +25% — contra-revenue reclassification, not demand weakness</t>
  </si>
  <si>
    <t>Q2'26F FORECAST (Assumptions tab — change inputs there to update model)</t>
  </si>
  <si>
    <t>Base — 4.85% (ACTIVE)</t>
  </si>
  <si>
    <t>Bull — 4.96%</t>
  </si>
  <si>
    <t>Guidance: GB $56.25B–$57.75B | Adj EBITDA $2.70B–$2.80B | Non-GAAP EPS $0.78–$0.82 | Earnings: Aug 5 2026</t>
  </si>
  <si>
    <t>4. SEGMENT — GROSS BOOKINGS MIX</t>
  </si>
  <si>
    <t>Mobility % of Total GB</t>
  </si>
  <si>
    <t>Mobility mix falling every quarter for past year (from ~51.6% to 49.1%). Q1'26 actual 49.1%.</t>
  </si>
  <si>
    <t>Delivery % of Total GB</t>
  </si>
  <si>
    <t>Rising every quarter for past year. Q1'26 at 48.4%. Delivery +23% vs Mobility +20% in Q1'26. Continued growth signals from earnings call: Suburban expansion 'very early innings,' 30% of Mobility users never used Eats.</t>
  </si>
  <si>
    <t>Freight % of Total GB</t>
  </si>
  <si>
    <t>Straight-line from Q2'25. Freight returned to growth Q1'26 but one quarter isn't enough to establish a new trend.</t>
  </si>
  <si>
    <t>Mix check (should = 100.0%)</t>
  </si>
  <si>
    <t>Assumptions tab — see individual assumption defense notes.</t>
  </si>
  <si>
    <t>Mobility GB Q2'26F ($M)</t>
  </si>
  <si>
    <t>NOTES: (1) Q4'24 GAAP NI $6,883M incl $6.4B tax release. (2) Q3'25 GAAP NI $6,626M incl $4.9B tax release. (3) Q1'26 take rate 24.6% = accounting outlier, not structural. (4) Segment Adj EBITDA not disclosed from Q1'26.</t>
  </si>
  <si>
    <t>Delivery GB Q2'26F ($M)</t>
  </si>
  <si>
    <t>Freight GB Q2'26F ($M)</t>
  </si>
  <si>
    <t/>
  </si>
  <si>
    <t>5. SEGMENT — REVENUE TAKE RATES</t>
  </si>
  <si>
    <t>Mobility Take Rate</t>
  </si>
  <si>
    <t>Q1'25 to Q1'26 = -16%, applied to Q2'25 to account for business model reclassification = 25.80</t>
  </si>
  <si>
    <t>Delivery Take Rate</t>
  </si>
  <si>
    <t>19.3% = avg of last 3 clean quarters.</t>
  </si>
  <si>
    <t>Freight Take Rate</t>
  </si>
  <si>
    <t>12-quarter average = 100.15%.</t>
  </si>
  <si>
    <t>Mobility Revenue Q2'26F ($M)</t>
  </si>
  <si>
    <t>Delivery Revenue Q2'26F ($M)</t>
  </si>
  <si>
    <t>Freight Revenue Q2'26F ($M)</t>
  </si>
  <si>
    <t>Total Segment Revenue Q2'26F ($M)</t>
  </si>
  <si>
    <t>6. SEGMENT — NON-GAAP OPERATING INCOME</t>
  </si>
  <si>
    <t>Mobility Op Income Margin (% of Mob GB)</t>
  </si>
  <si>
    <t>Q4'24 7.1%, Q1'25 7.5%, Q4'25 7.4%, Q1'26 7.7%. Trending up. 7.5% = conservative mid-range.</t>
  </si>
  <si>
    <t>Delivery Op Income Margin (% of Del GB)</t>
  </si>
  <si>
    <t>Q4'24 3.2%, Q1'25 3.3%, Q4'25 3.6%, Q1'26 3.7%. 3.6% = Q4'25 level, conservative vs Q1'26.</t>
  </si>
  <si>
    <t>Freight Op Income ($M)</t>
  </si>
  <si>
    <t>Avg of 4 disclosed quarters</t>
  </si>
  <si>
    <t>Corp G&amp;A + Platform R&amp;D ($M)</t>
  </si>
  <si>
    <t>User assumption. Note: avg of Q4'25 (-$996M) and Q1'26 (-$1,077M) = -$1,037M. -$1,097M implies slight additional growth.</t>
  </si>
  <si>
    <t>Mobility Op Income Q2'26F ($M)</t>
  </si>
  <si>
    <t>Delivery Op Income Q2'26F ($M)</t>
  </si>
  <si>
    <t>Freight Op Income Q2'26F ($M)</t>
  </si>
  <si>
    <t>Corp G&amp;A Q2'26F ($M)</t>
  </si>
  <si>
    <t>Total Non-GAAP Op Income Q2'26F ($M)</t>
  </si>
  <si>
    <t>7. SANITY CHECKS vs. GUIDANCE</t>
  </si>
  <si>
    <t>Metric</t>
  </si>
  <si>
    <t>Our Forecast</t>
  </si>
  <si>
    <t>Guidance / Status</t>
  </si>
  <si>
    <t>Total Gross Bookings ($M)</t>
  </si>
  <si>
    <t>Guidance: $56,250–$57,750</t>
  </si>
  <si>
    <t xml:space="preserve">Adj EBITDA ($M) </t>
  </si>
  <si>
    <t>Guidance: $2,700–$2,800</t>
  </si>
  <si>
    <t>Non-GAAP Op Income ($M)</t>
  </si>
  <si>
    <t>Implied from EPS guidance</t>
  </si>
  <si>
    <t>Not guided; derived from segment take rates</t>
  </si>
  <si>
    <t>UBER TECHNOLOGIES - SEGMENT ADJUSTED EBITDA ($M)</t>
  </si>
  <si>
    <t>UBER TECHNOLOGIES - SEGMENT NON-GAAP OPERATING INCOME ($M)</t>
  </si>
  <si>
    <t>CRITICAL: Segment Adj EBITDA not disclosed from Q1'26. Replaced by Segment Non-GAAP Op Income. Do NOT splice these two metrics into one series without noting the break.</t>
  </si>
  <si>
    <t>Replaces Segment Adj EBITDA from Q1'26. Q4'24 and Q1'25 retroactively disclosed in Q1'26 PR. Prior quarters = N/A (not reported).</t>
  </si>
  <si>
    <t>NEW PRIMARY METRIC from Q1'26 — replaces Segment Adjusted EBITDA. See Notes tab.</t>
  </si>
  <si>
    <t>Corp G&amp;A ($M)</t>
  </si>
  <si>
    <t>Total Adj EBITDA ($M)</t>
  </si>
  <si>
    <t>Mob Margin</t>
  </si>
  <si>
    <t>Del Margin</t>
  </si>
  <si>
    <t>Total Non-GAAP OI ($M)</t>
  </si>
  <si>
    <t>Frt Margin</t>
  </si>
  <si>
    <t>Corp G&amp;A %</t>
  </si>
  <si>
    <t>HISTORICAL (prior to Q4'24 = N/A — not disclosed)</t>
  </si>
  <si>
    <t>N/A</t>
  </si>
  <si>
    <t>N/D</t>
  </si>
  <si>
    <t>UBER TECHNOLOGIES - MODEL NOTES</t>
  </si>
  <si>
    <t>Not disclosed from Q1'26 — see Op Income tab</t>
  </si>
  <si>
    <t>CRITICAL: METRIC CHANGE AT Q1'26</t>
  </si>
  <si>
    <t>Starting Q1'26, Uber no longer reports Segment Adjusted EBITDA. Replaced by Non-GAAP Operating Income at segment level.</t>
  </si>
  <si>
    <t>CRITICAL: TAKE RATE NOISE</t>
  </si>
  <si>
    <t>Not disclosed from Q1'26 onward</t>
  </si>
  <si>
    <t>Q2'24, Q3'24, and Q1'26 take rates are distorted by disclosed 'business model changes' that reclassify certain S&amp;M costs as contra-revenue.</t>
  </si>
  <si>
    <t>KNOWN DISCLOSURE GAPS</t>
  </si>
  <si>
    <t>Seg Trips/MAPCs</t>
  </si>
  <si>
    <t>NOT disclosed at segment level. Only consolidated Trips/MAPCs available.</t>
  </si>
  <si>
    <t>Non-GAAP OI history</t>
  </si>
  <si>
    <t>Only available for Q4'24, Q1'25, Q4'25, Q1'26. Q4'24 and Q1'25 disclosed in Q1'26 PR.</t>
  </si>
  <si>
    <t>Q2'26F KEY ASSUMPTIONS</t>
  </si>
  <si>
    <t>MAPCs</t>
  </si>
  <si>
    <t>17.5% YoY growth. In the earnings call, we see Uber One hit 50M members +50% YoY, 7 new intl markets, insurance-driven US user acquisition. All signs point to bullish outlook for MAPC growth.</t>
  </si>
  <si>
    <t>Trips/MAPC</t>
  </si>
  <si>
    <t>3% YoY → 6.23/month. Consistent 4-quarter trend, in earnings call: Balaji confident on repeat trips for MAPC's continuing through 2026.</t>
  </si>
  <si>
    <t>GB/Trip</t>
  </si>
  <si>
    <t>$14.43 (12-quarter historical mean)</t>
  </si>
  <si>
    <t>27.1% (Q2'25 straight-line). Q1'26 at 24.6% treated as outlier due to reclassification of S&amp;M costs to contra-revenue.</t>
  </si>
  <si>
    <t>4.85% base (+0.43pp additive YoY trend). Insurance savings tailwind via Q1'26 call.</t>
  </si>
  <si>
    <t>Segment Mix</t>
  </si>
  <si>
    <t>Mobility 48.8% / Delivery 48.9% / Freight 2.3%. Delivery taking share steadily for past year, so I expect it to finally pass mobility in GB share.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</si>
</sst>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0.0%"/>
  </numFmts>
  <fonts count="16">
    <font>
      <sz val="10.0"/>
      <color rgb="FF000000"/>
      <name val="Arial"/>
      <scheme val="minor"/>
    </font>
    <font>
      <b/>
      <sz val="11.0"/>
      <color rgb="FFFFFFFF"/>
      <name val="Arial"/>
    </font>
    <font>
      <b/>
      <sz val="9.0"/>
      <color rgb="FFFFFFFF"/>
      <name val="Arial"/>
    </font>
    <font>
      <b/>
      <sz val="9.0"/>
      <color rgb="FF000000"/>
      <name val="Arial"/>
    </font>
    <font>
      <sz val="9.0"/>
      <color rgb="FF000000"/>
      <name val="Arial"/>
    </font>
    <font>
      <i/>
      <sz val="8.0"/>
      <color rgb="FF595959"/>
      <name val="Arial"/>
    </font>
    <font>
      <sz val="9.0"/>
      <color rgb="FF1A1A1A"/>
      <name val="Arial"/>
    </font>
    <font>
      <i/>
      <sz val="9.0"/>
      <color rgb="FF666666"/>
      <name val="Arial"/>
    </font>
    <font>
      <b/>
      <sz val="9.0"/>
      <color rgb="FF1A1A1A"/>
      <name val="Arial"/>
    </font>
    <font>
      <sz val="9.0"/>
      <color rgb="FF0070C0"/>
      <name val="Arial"/>
    </font>
    <font>
      <sz val="11.0"/>
      <color rgb="FF000000"/>
      <name val="Calibri"/>
    </font>
    <font>
      <b/>
      <sz val="9.0"/>
      <color rgb="FF006100"/>
      <name val="Arial"/>
    </font>
    <font>
      <color theme="1"/>
      <name val="Arial"/>
      <scheme val="minor"/>
    </font>
    <font>
      <color rgb="FF000000"/>
      <name val="Arial"/>
      <scheme val="minor"/>
    </font>
    <font>
      <i/>
      <sz val="9.0"/>
      <color rgb="FF888888"/>
      <name val="Arial"/>
    </font>
    <font>
      <i/>
      <sz val="9.0"/>
      <color rgb="FFFF0000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1A1A1A"/>
        <bgColor rgb="FF1A1A1A"/>
      </patternFill>
    </fill>
    <fill>
      <patternFill patternType="solid">
        <fgColor rgb="FFFFFFFF"/>
        <bgColor rgb="FFFFFFFF"/>
      </patternFill>
    </fill>
    <fill>
      <patternFill patternType="solid">
        <fgColor rgb="FF0A8A47"/>
        <bgColor rgb="FF0A8A47"/>
      </patternFill>
    </fill>
    <fill>
      <patternFill patternType="solid">
        <fgColor rgb="FFFFFDE7"/>
        <bgColor rgb="FFFFFDE7"/>
      </patternFill>
    </fill>
    <fill>
      <patternFill patternType="solid">
        <fgColor rgb="FFEBF5FB"/>
        <bgColor rgb="FFEBF5FB"/>
      </patternFill>
    </fill>
    <fill>
      <patternFill patternType="solid">
        <fgColor rgb="FFF8F8F8"/>
        <bgColor rgb="FFF8F8F8"/>
      </patternFill>
    </fill>
    <fill>
      <patternFill patternType="solid">
        <fgColor rgb="FFD4EDDA"/>
        <bgColor rgb="FFD4EDDA"/>
      </patternFill>
    </fill>
    <fill>
      <patternFill patternType="solid">
        <fgColor rgb="FFE5E5E5"/>
        <bgColor rgb="FFE5E5E5"/>
      </patternFill>
    </fill>
    <fill>
      <patternFill patternType="solid">
        <fgColor rgb="FFFFF3CD"/>
        <bgColor rgb="FFFFF3CD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2" fontId="2" numFmtId="0" xfId="0" applyAlignment="1" applyFont="1">
      <alignment horizontal="center" readingOrder="0" shrinkToFit="0" wrapText="0"/>
    </xf>
    <xf borderId="0" fillId="3" fontId="2" numFmtId="0" xfId="0" applyAlignment="1" applyFill="1" applyFont="1">
      <alignment horizontal="center" readingOrder="0" shrinkToFit="0" wrapText="0"/>
    </xf>
    <xf borderId="0" fillId="2" fontId="2" numFmtId="0" xfId="0" applyAlignment="1" applyFont="1">
      <alignment horizontal="left" readingOrder="0" shrinkToFit="0" wrapText="0"/>
    </xf>
    <xf borderId="0" fillId="4" fontId="3" numFmtId="0" xfId="0" applyAlignment="1" applyFill="1" applyFont="1">
      <alignment horizontal="left" readingOrder="0" shrinkToFit="0" wrapText="0"/>
    </xf>
    <xf borderId="0" fillId="4" fontId="4" numFmtId="3" xfId="0" applyAlignment="1" applyFont="1" applyNumberFormat="1">
      <alignment horizontal="right" readingOrder="0" shrinkToFit="0" wrapText="0"/>
    </xf>
    <xf borderId="0" fillId="5" fontId="2" numFmtId="0" xfId="0" applyAlignment="1" applyFill="1" applyFont="1">
      <alignment horizontal="left" readingOrder="0" shrinkToFit="0" wrapText="0"/>
    </xf>
    <xf borderId="0" fillId="6" fontId="5" numFmtId="0" xfId="0" applyAlignment="1" applyFill="1" applyFont="1">
      <alignment horizontal="left" readingOrder="0"/>
    </xf>
    <xf borderId="0" fillId="0" fontId="6" numFmtId="0" xfId="0" applyAlignment="1" applyFont="1">
      <alignment horizontal="left" readingOrder="0" shrinkToFit="0" wrapText="0"/>
    </xf>
    <xf borderId="0" fillId="4" fontId="4" numFmtId="0" xfId="0" applyAlignment="1" applyFont="1">
      <alignment horizontal="right" readingOrder="0" shrinkToFit="0" wrapText="0"/>
    </xf>
    <xf borderId="0" fillId="7" fontId="4" numFmtId="10" xfId="0" applyAlignment="1" applyFill="1" applyFont="1" applyNumberFormat="1">
      <alignment horizontal="right" readingOrder="0" shrinkToFit="0" wrapText="0"/>
    </xf>
    <xf borderId="0" fillId="4" fontId="4" numFmtId="4" xfId="0" applyAlignment="1" applyFont="1" applyNumberFormat="1">
      <alignment horizontal="right" shrinkToFit="0" wrapText="0"/>
    </xf>
    <xf borderId="0" fillId="4" fontId="3" numFmtId="0" xfId="0" applyAlignment="1" applyFont="1">
      <alignment horizontal="left" readingOrder="0"/>
    </xf>
    <xf borderId="0" fillId="0" fontId="5" numFmtId="0" xfId="0" applyAlignment="1" applyFont="1">
      <alignment horizontal="left" readingOrder="0"/>
    </xf>
    <xf borderId="0" fillId="4" fontId="4" numFmtId="164" xfId="0" applyAlignment="1" applyFont="1" applyNumberFormat="1">
      <alignment horizontal="right" readingOrder="0" shrinkToFit="0" wrapText="0"/>
    </xf>
    <xf borderId="0" fillId="8" fontId="3" numFmtId="0" xfId="0" applyAlignment="1" applyFill="1" applyFont="1">
      <alignment horizontal="left" readingOrder="0" shrinkToFit="0" wrapText="0"/>
    </xf>
    <xf borderId="0" fillId="0" fontId="7" numFmtId="0" xfId="0" applyAlignment="1" applyFont="1">
      <alignment horizontal="left" readingOrder="0" shrinkToFit="0" wrapText="0"/>
    </xf>
    <xf borderId="0" fillId="4" fontId="4" numFmtId="10" xfId="0" applyAlignment="1" applyFont="1" applyNumberFormat="1">
      <alignment horizontal="right" readingOrder="0" shrinkToFit="0" wrapText="0"/>
    </xf>
    <xf borderId="0" fillId="8" fontId="4" numFmtId="3" xfId="0" applyAlignment="1" applyFont="1" applyNumberFormat="1">
      <alignment horizontal="right" readingOrder="0" shrinkToFit="0" wrapText="0"/>
    </xf>
    <xf borderId="0" fillId="9" fontId="4" numFmtId="0" xfId="0" applyAlignment="1" applyFill="1" applyFont="1">
      <alignment horizontal="right" readingOrder="0" shrinkToFit="0" wrapText="0"/>
    </xf>
    <xf borderId="0" fillId="4" fontId="4" numFmtId="0" xfId="0" applyAlignment="1" applyFont="1">
      <alignment horizontal="right" shrinkToFit="0" wrapText="0"/>
    </xf>
    <xf borderId="0" fillId="4" fontId="8" numFmtId="0" xfId="0" applyAlignment="1" applyFont="1">
      <alignment horizontal="left" readingOrder="0" shrinkToFit="0" wrapText="0"/>
    </xf>
    <xf borderId="0" fillId="8" fontId="3" numFmtId="0" xfId="0" applyAlignment="1" applyFont="1">
      <alignment horizontal="left" readingOrder="0"/>
    </xf>
    <xf borderId="0" fillId="4" fontId="9" numFmtId="3" xfId="0" applyAlignment="1" applyFont="1" applyNumberFormat="1">
      <alignment horizontal="right" readingOrder="0" shrinkToFit="0" wrapText="0"/>
    </xf>
    <xf borderId="0" fillId="8" fontId="4" numFmtId="0" xfId="0" applyAlignment="1" applyFont="1">
      <alignment horizontal="right" readingOrder="0" shrinkToFit="0" wrapText="0"/>
    </xf>
    <xf borderId="0" fillId="0" fontId="10" numFmtId="0" xfId="0" applyAlignment="1" applyFont="1">
      <alignment shrinkToFit="0" vertical="bottom" wrapText="0"/>
    </xf>
    <xf borderId="0" fillId="8" fontId="4" numFmtId="164" xfId="0" applyAlignment="1" applyFont="1" applyNumberFormat="1">
      <alignment horizontal="right" readingOrder="0" shrinkToFit="0" wrapText="0"/>
    </xf>
    <xf borderId="0" fillId="4" fontId="11" numFmtId="0" xfId="0" applyAlignment="1" applyFont="1">
      <alignment horizontal="right" readingOrder="0" shrinkToFit="0" wrapText="0"/>
    </xf>
    <xf borderId="0" fillId="4" fontId="4" numFmtId="10" xfId="0" applyAlignment="1" applyFont="1" applyNumberFormat="1">
      <alignment horizontal="left" readingOrder="0"/>
    </xf>
    <xf borderId="0" fillId="8" fontId="8" numFmtId="0" xfId="0" applyAlignment="1" applyFont="1">
      <alignment horizontal="left" readingOrder="0" shrinkToFit="0" wrapText="0"/>
    </xf>
    <xf borderId="0" fillId="8" fontId="9" numFmtId="3" xfId="0" applyAlignment="1" applyFont="1" applyNumberFormat="1">
      <alignment horizontal="right" readingOrder="0" shrinkToFit="0" wrapText="0"/>
    </xf>
    <xf borderId="0" fillId="8" fontId="4" numFmtId="10" xfId="0" applyAlignment="1" applyFont="1" applyNumberFormat="1">
      <alignment horizontal="right" readingOrder="0" shrinkToFit="0" wrapText="0"/>
    </xf>
    <xf borderId="0" fillId="8" fontId="11" numFmtId="0" xfId="0" applyAlignment="1" applyFont="1">
      <alignment horizontal="right" readingOrder="0" shrinkToFit="0" wrapText="0"/>
    </xf>
    <xf borderId="0" fillId="9" fontId="4" numFmtId="3" xfId="0" applyAlignment="1" applyFont="1" applyNumberFormat="1">
      <alignment horizontal="right" readingOrder="0" shrinkToFit="0" wrapText="0"/>
    </xf>
    <xf borderId="0" fillId="8" fontId="4" numFmtId="0" xfId="0" applyAlignment="1" applyFont="1">
      <alignment horizontal="right" shrinkToFit="0" wrapText="0"/>
    </xf>
    <xf borderId="0" fillId="8" fontId="4" numFmtId="10" xfId="0" applyAlignment="1" applyFont="1" applyNumberFormat="1">
      <alignment horizontal="left" readingOrder="0"/>
    </xf>
    <xf borderId="0" fillId="7" fontId="4" numFmtId="164" xfId="0" applyAlignment="1" applyFont="1" applyNumberFormat="1">
      <alignment horizontal="right" readingOrder="0" shrinkToFit="0" wrapText="0"/>
    </xf>
    <xf borderId="0" fillId="6" fontId="3" numFmtId="0" xfId="0" applyAlignment="1" applyFont="1">
      <alignment horizontal="left" readingOrder="0" shrinkToFit="0" wrapText="0"/>
    </xf>
    <xf borderId="0" fillId="6" fontId="4" numFmtId="3" xfId="0" applyAlignment="1" applyFont="1" applyNumberFormat="1">
      <alignment horizontal="right" readingOrder="0" shrinkToFit="0" wrapText="0"/>
    </xf>
    <xf borderId="0" fillId="6" fontId="4" numFmtId="49" xfId="0" applyAlignment="1" applyFont="1" applyNumberFormat="1">
      <alignment horizontal="left" readingOrder="0"/>
    </xf>
    <xf borderId="0" fillId="4" fontId="4" numFmtId="10" xfId="0" applyAlignment="1" applyFont="1" applyNumberFormat="1">
      <alignment horizontal="right" shrinkToFit="0" wrapText="0"/>
    </xf>
    <xf borderId="0" fillId="6" fontId="8" numFmtId="0" xfId="0" applyAlignment="1" applyFont="1">
      <alignment horizontal="left" readingOrder="0" shrinkToFit="0" wrapText="0"/>
    </xf>
    <xf borderId="0" fillId="10" fontId="8" numFmtId="0" xfId="0" applyAlignment="1" applyFill="1" applyFont="1">
      <alignment horizontal="center" readingOrder="0" shrinkToFit="0" wrapText="0"/>
    </xf>
    <xf borderId="0" fillId="4" fontId="3" numFmtId="3" xfId="0" applyAlignment="1" applyFont="1" applyNumberFormat="1">
      <alignment horizontal="left" readingOrder="0"/>
    </xf>
    <xf borderId="0" fillId="10" fontId="3" numFmtId="0" xfId="0" applyAlignment="1" applyFont="1">
      <alignment horizontal="center" readingOrder="0" shrinkToFit="0" wrapText="0"/>
    </xf>
    <xf borderId="0" fillId="11" fontId="8" numFmtId="0" xfId="0" applyAlignment="1" applyFill="1" applyFont="1">
      <alignment horizontal="center" readingOrder="0" shrinkToFit="0" wrapText="0"/>
    </xf>
    <xf borderId="0" fillId="11" fontId="4" numFmtId="10" xfId="0" applyAlignment="1" applyFont="1" applyNumberFormat="1">
      <alignment horizontal="right" readingOrder="0" shrinkToFit="0" wrapText="0"/>
    </xf>
    <xf borderId="0" fillId="6" fontId="9" numFmtId="3" xfId="0" applyAlignment="1" applyFont="1" applyNumberFormat="1">
      <alignment horizontal="right" readingOrder="0" shrinkToFit="0" wrapText="0"/>
    </xf>
    <xf borderId="0" fillId="5" fontId="2" numFmtId="10" xfId="0" applyAlignment="1" applyFont="1" applyNumberFormat="1">
      <alignment horizontal="left" readingOrder="0" shrinkToFit="0" wrapText="0"/>
    </xf>
    <xf borderId="0" fillId="11" fontId="8" numFmtId="4" xfId="0" applyAlignment="1" applyFont="1" applyNumberFormat="1">
      <alignment horizontal="right" readingOrder="0" shrinkToFit="0" wrapText="0"/>
    </xf>
    <xf borderId="0" fillId="12" fontId="11" numFmtId="0" xfId="0" applyAlignment="1" applyFill="1" applyFont="1">
      <alignment horizontal="center" readingOrder="0" shrinkToFit="0" wrapText="0"/>
    </xf>
    <xf borderId="0" fillId="6" fontId="4" numFmtId="1" xfId="0" applyAlignment="1" applyFont="1" applyNumberFormat="1">
      <alignment horizontal="right" readingOrder="0" shrinkToFit="0" wrapText="0"/>
    </xf>
    <xf borderId="0" fillId="12" fontId="4" numFmtId="10" xfId="0" applyAlignment="1" applyFont="1" applyNumberFormat="1">
      <alignment horizontal="right" readingOrder="0" shrinkToFit="0" wrapText="0"/>
    </xf>
    <xf borderId="0" fillId="12" fontId="11" numFmtId="4" xfId="0" applyAlignment="1" applyFont="1" applyNumberFormat="1">
      <alignment horizontal="right" readingOrder="0" shrinkToFit="0" wrapText="0"/>
    </xf>
    <xf borderId="0" fillId="6" fontId="4" numFmtId="4" xfId="0" applyAlignment="1" applyFont="1" applyNumberFormat="1">
      <alignment horizontal="right" readingOrder="0" shrinkToFit="0" wrapText="0"/>
    </xf>
    <xf borderId="0" fillId="9" fontId="8" numFmtId="0" xfId="0" applyAlignment="1" applyFont="1">
      <alignment horizontal="center" readingOrder="0" shrinkToFit="0" wrapText="0"/>
    </xf>
    <xf borderId="0" fillId="9" fontId="4" numFmtId="10" xfId="0" applyAlignment="1" applyFont="1" applyNumberFormat="1">
      <alignment horizontal="right" readingOrder="0" shrinkToFit="0" wrapText="0"/>
    </xf>
    <xf borderId="0" fillId="6" fontId="4" numFmtId="164" xfId="0" applyAlignment="1" applyFont="1" applyNumberFormat="1">
      <alignment horizontal="right" readingOrder="0" shrinkToFit="0" wrapText="0"/>
    </xf>
    <xf borderId="0" fillId="9" fontId="8" numFmtId="4" xfId="0" applyAlignment="1" applyFont="1" applyNumberFormat="1">
      <alignment horizontal="right" readingOrder="0" shrinkToFit="0" wrapText="0"/>
    </xf>
    <xf borderId="0" fillId="6" fontId="4" numFmtId="10" xfId="0" applyAlignment="1" applyFont="1" applyNumberFormat="1">
      <alignment horizontal="right" readingOrder="0" shrinkToFit="0" wrapText="0"/>
    </xf>
    <xf borderId="0" fillId="6" fontId="4" numFmtId="10" xfId="0" applyAlignment="1" applyFont="1" applyNumberFormat="1">
      <alignment horizontal="left" readingOrder="0"/>
    </xf>
    <xf borderId="0" fillId="6" fontId="4" numFmtId="10" xfId="0" applyAlignment="1" applyFont="1" applyNumberFormat="1">
      <alignment horizontal="right" shrinkToFit="0" wrapText="0"/>
    </xf>
    <xf borderId="0" fillId="6" fontId="4" numFmtId="0" xfId="0" applyAlignment="1" applyFont="1">
      <alignment horizontal="right" shrinkToFit="0" wrapText="0"/>
    </xf>
    <xf borderId="0" fillId="6" fontId="4" numFmtId="0" xfId="0" applyAlignment="1" applyFont="1">
      <alignment horizontal="right" readingOrder="0" shrinkToFit="0" wrapText="0"/>
    </xf>
    <xf borderId="0" fillId="0" fontId="12" numFmtId="165" xfId="0" applyFont="1" applyNumberFormat="1"/>
    <xf borderId="0" fillId="0" fontId="12" numFmtId="10" xfId="0" applyFont="1" applyNumberFormat="1"/>
    <xf quotePrefix="1" borderId="0" fillId="0" fontId="12" numFmtId="0" xfId="0" applyAlignment="1" applyFont="1">
      <alignment readingOrder="0"/>
    </xf>
    <xf borderId="0" fillId="13" fontId="3" numFmtId="0" xfId="0" applyAlignment="1" applyFill="1" applyFont="1">
      <alignment horizontal="left" readingOrder="0" shrinkToFit="0" wrapText="0"/>
    </xf>
    <xf borderId="0" fillId="13" fontId="4" numFmtId="10" xfId="0" applyAlignment="1" applyFont="1" applyNumberFormat="1">
      <alignment horizontal="right" readingOrder="0" shrinkToFit="0" wrapText="0"/>
    </xf>
    <xf borderId="0" fillId="13" fontId="4" numFmtId="3" xfId="0" applyAlignment="1" applyFont="1" applyNumberFormat="1">
      <alignment horizontal="right" readingOrder="0" shrinkToFit="0" wrapText="0"/>
    </xf>
    <xf borderId="0" fillId="13" fontId="3" numFmtId="3" xfId="0" applyAlignment="1" applyFont="1" applyNumberFormat="1">
      <alignment horizontal="left" readingOrder="0"/>
    </xf>
    <xf borderId="0" fillId="7" fontId="4" numFmtId="0" xfId="0" applyAlignment="1" applyFont="1">
      <alignment horizontal="right" readingOrder="0" shrinkToFit="0" wrapText="0"/>
    </xf>
    <xf borderId="0" fillId="7" fontId="4" numFmtId="3" xfId="0" applyAlignment="1" applyFont="1" applyNumberFormat="1">
      <alignment horizontal="right" readingOrder="0" shrinkToFit="0" wrapText="0"/>
    </xf>
    <xf borderId="0" fillId="9" fontId="6" numFmtId="0" xfId="0" applyAlignment="1" applyFont="1">
      <alignment horizontal="left" readingOrder="0" shrinkToFit="0" wrapText="0"/>
    </xf>
    <xf borderId="0" fillId="9" fontId="7" numFmtId="0" xfId="0" applyAlignment="1" applyFont="1">
      <alignment horizontal="left" readingOrder="0" shrinkToFit="0" wrapText="0"/>
    </xf>
    <xf borderId="0" fillId="0" fontId="13" numFmtId="0" xfId="0" applyFont="1"/>
    <xf borderId="0" fillId="4" fontId="9" numFmtId="0" xfId="0" applyAlignment="1" applyFont="1">
      <alignment horizontal="right" readingOrder="0" shrinkToFit="0" wrapText="0"/>
    </xf>
    <xf borderId="0" fillId="4" fontId="14" numFmtId="0" xfId="0" applyAlignment="1" applyFont="1">
      <alignment horizontal="right" readingOrder="0" shrinkToFit="0" wrapText="0"/>
    </xf>
    <xf borderId="0" fillId="4" fontId="6" numFmtId="0" xfId="0" applyAlignment="1" applyFont="1">
      <alignment horizontal="right" shrinkToFit="0" wrapText="0"/>
    </xf>
    <xf borderId="0" fillId="8" fontId="9" numFmtId="0" xfId="0" applyAlignment="1" applyFont="1">
      <alignment horizontal="right" readingOrder="0" shrinkToFit="0" wrapText="0"/>
    </xf>
    <xf borderId="0" fillId="8" fontId="14" numFmtId="0" xfId="0" applyAlignment="1" applyFont="1">
      <alignment horizontal="right" readingOrder="0" shrinkToFit="0" wrapText="0"/>
    </xf>
    <xf borderId="0" fillId="8" fontId="6" numFmtId="0" xfId="0" applyAlignment="1" applyFont="1">
      <alignment horizontal="right" shrinkToFit="0" wrapText="0"/>
    </xf>
    <xf borderId="0" fillId="8" fontId="15" numFmtId="0" xfId="0" applyAlignment="1" applyFont="1">
      <alignment horizontal="right" readingOrder="0" shrinkToFit="0" wrapText="0"/>
    </xf>
    <xf borderId="0" fillId="8" fontId="6" numFmtId="0" xfId="0" applyAlignment="1" applyFont="1">
      <alignment horizontal="left"/>
    </xf>
    <xf borderId="0" fillId="3" fontId="2" numFmtId="0" xfId="0" applyAlignment="1" applyFont="1">
      <alignment horizontal="left" readingOrder="0" shrinkToFit="0" wrapText="0"/>
    </xf>
    <xf borderId="0" fillId="0" fontId="8" numFmtId="0" xfId="0" applyAlignment="1" applyFont="1">
      <alignment horizontal="left" shrinkToFit="0" wrapText="0"/>
    </xf>
    <xf borderId="0" fillId="6" fontId="15" numFmtId="0" xfId="0" applyAlignment="1" applyFont="1">
      <alignment horizontal="right" readingOrder="0" shrinkToFit="0" wrapText="0"/>
    </xf>
    <xf borderId="0" fillId="0" fontId="5" numFmtId="0" xfId="0" applyAlignment="1" applyFont="1">
      <alignment horizontal="left"/>
    </xf>
    <xf borderId="0" fillId="6" fontId="6" numFmtId="0" xfId="0" applyAlignment="1" applyFont="1">
      <alignment horizontal="right" shrinkToFit="0" wrapText="0"/>
    </xf>
    <xf borderId="0" fillId="6" fontId="6" numFmtId="0" xfId="0" applyAlignment="1" applyFont="1">
      <alignment horizontal="left"/>
    </xf>
    <xf borderId="0" fillId="0" fontId="8" numFmtId="0" xfId="0" applyAlignment="1" applyFont="1">
      <alignment horizontal="left" readingOrder="0" shrinkToFit="0" wrapText="0"/>
    </xf>
    <xf borderId="0" fillId="0" fontId="6" numFmtId="0" xfId="0" applyAlignment="1" applyFont="1">
      <alignment horizontal="left" readingOrder="0"/>
    </xf>
    <xf borderId="0" fillId="6" fontId="9" numFmtId="0" xfId="0" applyAlignment="1" applyFon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78.75"/>
    <col customWidth="1" min="2" max="2" width="11.88"/>
    <col customWidth="1" min="3" max="3" width="153.88"/>
  </cols>
  <sheetData>
    <row r="1">
      <c r="A1" s="1" t="s">
        <v>1</v>
      </c>
    </row>
    <row r="2">
      <c r="A2" s="3" t="s">
        <v>6</v>
      </c>
      <c r="B2" s="3" t="s">
        <v>20</v>
      </c>
      <c r="C2" s="3" t="s">
        <v>24</v>
      </c>
    </row>
    <row r="3">
      <c r="A3" s="7" t="s">
        <v>26</v>
      </c>
    </row>
    <row r="4">
      <c r="A4" s="9" t="s">
        <v>30</v>
      </c>
      <c r="B4" s="11">
        <v>0.175</v>
      </c>
      <c r="C4" s="14" t="s">
        <v>32</v>
      </c>
    </row>
    <row r="5">
      <c r="A5" s="17" t="s">
        <v>34</v>
      </c>
      <c r="B5" s="20">
        <v>180.0</v>
      </c>
      <c r="C5" s="14" t="s">
        <v>38</v>
      </c>
    </row>
    <row r="6">
      <c r="A6" s="17" t="s">
        <v>39</v>
      </c>
      <c r="B6" s="20">
        <v>212.0</v>
      </c>
      <c r="C6" s="14" t="s">
        <v>41</v>
      </c>
    </row>
    <row r="7">
      <c r="A7" s="26"/>
      <c r="B7" s="26"/>
      <c r="C7" s="26"/>
    </row>
    <row r="8">
      <c r="A8" s="9" t="s">
        <v>44</v>
      </c>
      <c r="B8" s="11">
        <v>0.03</v>
      </c>
      <c r="C8" s="14" t="s">
        <v>45</v>
      </c>
    </row>
    <row r="9">
      <c r="A9" s="17" t="s">
        <v>47</v>
      </c>
      <c r="B9" s="20" t="s">
        <v>48</v>
      </c>
      <c r="C9" s="14" t="s">
        <v>49</v>
      </c>
    </row>
    <row r="10">
      <c r="A10" s="17" t="s">
        <v>51</v>
      </c>
      <c r="B10" s="20" t="s">
        <v>52</v>
      </c>
      <c r="C10" s="14" t="s">
        <v>53</v>
      </c>
    </row>
    <row r="11">
      <c r="A11" s="17" t="s">
        <v>54</v>
      </c>
      <c r="B11" s="34">
        <v>3962.0</v>
      </c>
      <c r="C11" s="14" t="s">
        <v>56</v>
      </c>
    </row>
    <row r="12">
      <c r="A12" s="26"/>
      <c r="B12" s="26"/>
      <c r="C12" s="26"/>
    </row>
    <row r="13">
      <c r="A13" s="9" t="s">
        <v>59</v>
      </c>
      <c r="B13" s="37">
        <v>14.43</v>
      </c>
      <c r="C13" s="14" t="s">
        <v>61</v>
      </c>
    </row>
    <row r="14">
      <c r="A14" s="17" t="s">
        <v>62</v>
      </c>
      <c r="B14" s="34">
        <f>B13*Consolidated!C17</f>
        <v>57054.5858</v>
      </c>
      <c r="C14" s="14" t="s">
        <v>70</v>
      </c>
    </row>
    <row r="15">
      <c r="A15" s="26"/>
      <c r="B15" s="26"/>
      <c r="C15" s="26"/>
    </row>
    <row r="16">
      <c r="A16" s="7" t="s">
        <v>72</v>
      </c>
    </row>
    <row r="17">
      <c r="A17" s="9" t="s">
        <v>73</v>
      </c>
      <c r="B17" s="11">
        <f>Consolidated!H17</f>
        <v>0.2433155</v>
      </c>
      <c r="C17" s="14" t="s">
        <v>75</v>
      </c>
    </row>
    <row r="18">
      <c r="A18" s="26"/>
      <c r="B18" s="26"/>
      <c r="C18" s="26"/>
    </row>
    <row r="19">
      <c r="A19" s="9" t="s">
        <v>76</v>
      </c>
      <c r="B19" s="11">
        <v>0.0485</v>
      </c>
      <c r="C19" s="14" t="s">
        <v>80</v>
      </c>
    </row>
    <row r="20">
      <c r="A20" s="17" t="s">
        <v>81</v>
      </c>
      <c r="B20" s="34">
        <f>B19*Consolidated!F17</f>
        <v>2767.147411</v>
      </c>
      <c r="C20" s="14" t="s">
        <v>84</v>
      </c>
    </row>
    <row r="21">
      <c r="A21" s="26"/>
      <c r="B21" s="26"/>
      <c r="C21" s="26"/>
    </row>
    <row r="22">
      <c r="A22" s="7" t="s">
        <v>85</v>
      </c>
    </row>
    <row r="23">
      <c r="A23" s="43" t="s">
        <v>86</v>
      </c>
      <c r="B23" s="45" t="s">
        <v>18</v>
      </c>
      <c r="C23" s="43" t="s">
        <v>88</v>
      </c>
    </row>
    <row r="24">
      <c r="A24" s="46" t="s">
        <v>89</v>
      </c>
      <c r="B24" s="47">
        <v>0.0475</v>
      </c>
      <c r="C24" s="50">
        <f>B24*Consolidated!$F$17</f>
        <v>2710.092826</v>
      </c>
    </row>
    <row r="25">
      <c r="A25" s="51" t="s">
        <v>92</v>
      </c>
      <c r="B25" s="53">
        <v>0.0485</v>
      </c>
      <c r="C25" s="54">
        <f>B25*Consolidated!$F$17</f>
        <v>2767.147411</v>
      </c>
    </row>
    <row r="26">
      <c r="A26" s="56" t="s">
        <v>93</v>
      </c>
      <c r="B26" s="57">
        <v>0.0496</v>
      </c>
      <c r="C26" s="59">
        <f>B26*Consolidated!$F$17</f>
        <v>2829.907456</v>
      </c>
    </row>
    <row r="27">
      <c r="A27" s="8" t="s">
        <v>94</v>
      </c>
    </row>
    <row r="28">
      <c r="A28" s="26"/>
      <c r="B28" s="26"/>
      <c r="C28" s="26"/>
    </row>
    <row r="29">
      <c r="A29" s="7" t="s">
        <v>95</v>
      </c>
    </row>
    <row r="30">
      <c r="A30" s="9" t="s">
        <v>96</v>
      </c>
      <c r="B30" s="11">
        <v>0.488</v>
      </c>
      <c r="C30" s="14" t="s">
        <v>97</v>
      </c>
    </row>
    <row r="31">
      <c r="A31" s="9" t="s">
        <v>98</v>
      </c>
      <c r="B31" s="11">
        <v>0.489</v>
      </c>
      <c r="C31" s="14" t="s">
        <v>99</v>
      </c>
    </row>
    <row r="32">
      <c r="A32" s="9" t="s">
        <v>100</v>
      </c>
      <c r="B32" s="11">
        <v>0.023</v>
      </c>
      <c r="C32" s="14" t="s">
        <v>101</v>
      </c>
    </row>
    <row r="33">
      <c r="A33" s="17" t="s">
        <v>102</v>
      </c>
      <c r="B33" s="57">
        <v>1.0</v>
      </c>
      <c r="C33" s="26"/>
    </row>
    <row r="34">
      <c r="A34" s="26"/>
      <c r="B34" s="26"/>
      <c r="C34" s="26"/>
    </row>
    <row r="35">
      <c r="A35" s="17" t="s">
        <v>104</v>
      </c>
      <c r="B35" s="34">
        <f>'Segment - Gross Bookings'!B17</f>
        <v>27842.63787</v>
      </c>
      <c r="C35" s="26"/>
    </row>
    <row r="36">
      <c r="A36" s="17" t="s">
        <v>106</v>
      </c>
      <c r="B36" s="34">
        <f>'Segment - Gross Bookings'!C17</f>
        <v>27899.69246</v>
      </c>
      <c r="C36" s="26"/>
    </row>
    <row r="37">
      <c r="A37" s="17" t="s">
        <v>107</v>
      </c>
      <c r="B37" s="34">
        <f>'Segment - Gross Bookings'!D17</f>
        <v>1312.255473</v>
      </c>
      <c r="C37" s="26"/>
    </row>
    <row r="38">
      <c r="A38" s="26"/>
      <c r="B38" s="26"/>
      <c r="C38" s="26"/>
    </row>
    <row r="39">
      <c r="A39" s="7" t="s">
        <v>109</v>
      </c>
    </row>
    <row r="40">
      <c r="A40" s="9" t="s">
        <v>110</v>
      </c>
      <c r="B40" s="11">
        <v>0.258</v>
      </c>
      <c r="C40" s="14" t="s">
        <v>111</v>
      </c>
    </row>
    <row r="41">
      <c r="A41" s="9" t="s">
        <v>112</v>
      </c>
      <c r="B41" s="11">
        <f>average('Segment - Revenue'!H14:H16)</f>
        <v>0.193</v>
      </c>
      <c r="C41" s="14" t="s">
        <v>113</v>
      </c>
    </row>
    <row r="42">
      <c r="A42" s="9" t="s">
        <v>114</v>
      </c>
      <c r="B42" s="11">
        <v>1.0015</v>
      </c>
      <c r="C42" s="14" t="s">
        <v>115</v>
      </c>
    </row>
    <row r="43">
      <c r="A43" s="26"/>
      <c r="B43" s="26"/>
      <c r="C43" s="26"/>
    </row>
    <row r="44">
      <c r="A44" s="17" t="s">
        <v>116</v>
      </c>
      <c r="B44" s="34">
        <f>'Segment - Revenue'!B18</f>
        <v>7183.400571</v>
      </c>
      <c r="C44" s="26"/>
    </row>
    <row r="45">
      <c r="A45" s="17" t="s">
        <v>117</v>
      </c>
      <c r="B45" s="34">
        <f>'Segment - Revenue'!C18</f>
        <v>5384.640644</v>
      </c>
      <c r="C45" s="26"/>
    </row>
    <row r="46">
      <c r="A46" s="17" t="s">
        <v>118</v>
      </c>
      <c r="B46" s="34">
        <f>'Segment - Revenue'!D18</f>
        <v>1314.223857</v>
      </c>
      <c r="C46" s="26"/>
    </row>
    <row r="47">
      <c r="A47" s="17" t="s">
        <v>119</v>
      </c>
      <c r="B47" s="34">
        <f>sum(B44:B46)</f>
        <v>13882.26507</v>
      </c>
      <c r="C47" s="14"/>
    </row>
    <row r="48">
      <c r="A48" s="26"/>
      <c r="B48" s="26"/>
      <c r="C48" s="26"/>
    </row>
    <row r="49">
      <c r="A49" s="7" t="s">
        <v>120</v>
      </c>
    </row>
    <row r="50">
      <c r="A50" s="9" t="s">
        <v>121</v>
      </c>
      <c r="B50" s="11">
        <v>0.075</v>
      </c>
      <c r="C50" s="14" t="s">
        <v>122</v>
      </c>
    </row>
    <row r="51">
      <c r="A51" s="9" t="s">
        <v>123</v>
      </c>
      <c r="B51" s="11">
        <v>0.036</v>
      </c>
      <c r="C51" s="14" t="s">
        <v>124</v>
      </c>
    </row>
    <row r="52">
      <c r="A52" s="9" t="s">
        <v>125</v>
      </c>
      <c r="B52" s="72">
        <v>-28.0</v>
      </c>
      <c r="C52" s="14" t="s">
        <v>126</v>
      </c>
    </row>
    <row r="53">
      <c r="A53" s="9" t="s">
        <v>127</v>
      </c>
      <c r="B53" s="73">
        <v>-1097.0</v>
      </c>
      <c r="C53" s="14" t="s">
        <v>128</v>
      </c>
    </row>
    <row r="54">
      <c r="A54" s="26"/>
      <c r="B54" s="26"/>
      <c r="C54" s="26"/>
    </row>
    <row r="55">
      <c r="A55" s="17" t="s">
        <v>129</v>
      </c>
      <c r="B55" s="34">
        <f>'Segment - NGOP'!B19</f>
        <v>2088.19784</v>
      </c>
      <c r="C55" s="26"/>
    </row>
    <row r="56">
      <c r="A56" s="17" t="s">
        <v>130</v>
      </c>
      <c r="B56" s="34">
        <f>'Segment - NGOP'!C19</f>
        <v>1004.388928</v>
      </c>
      <c r="C56" s="26"/>
    </row>
    <row r="57">
      <c r="A57" s="17" t="s">
        <v>131</v>
      </c>
      <c r="B57" s="20">
        <f>'Segment - NGOP'!D19</f>
        <v>-28</v>
      </c>
      <c r="C57" s="26"/>
    </row>
    <row r="58">
      <c r="A58" s="17" t="s">
        <v>132</v>
      </c>
      <c r="B58" s="34">
        <f>'Segment - NGOP'!E19</f>
        <v>-1097</v>
      </c>
      <c r="C58" s="26"/>
    </row>
    <row r="59">
      <c r="A59" s="17" t="s">
        <v>133</v>
      </c>
      <c r="B59" s="34">
        <f>sum(B55:B58)</f>
        <v>1967.586769</v>
      </c>
      <c r="C59" s="14"/>
    </row>
    <row r="60">
      <c r="A60" s="26"/>
      <c r="B60" s="26"/>
      <c r="C60" s="26"/>
    </row>
    <row r="61">
      <c r="A61" s="7" t="s">
        <v>134</v>
      </c>
    </row>
    <row r="62">
      <c r="A62" s="43" t="s">
        <v>135</v>
      </c>
      <c r="B62" s="45" t="s">
        <v>136</v>
      </c>
      <c r="C62" s="43" t="s">
        <v>137</v>
      </c>
    </row>
    <row r="63">
      <c r="A63" s="74" t="s">
        <v>138</v>
      </c>
      <c r="B63" s="34">
        <f>B14</f>
        <v>57054.5858</v>
      </c>
      <c r="C63" s="75" t="s">
        <v>139</v>
      </c>
    </row>
    <row r="64">
      <c r="A64" s="74" t="s">
        <v>140</v>
      </c>
      <c r="B64" s="34">
        <f>Consolidated!J17</f>
        <v>2767.147411</v>
      </c>
      <c r="C64" s="75" t="s">
        <v>141</v>
      </c>
    </row>
    <row r="65">
      <c r="A65" s="74" t="s">
        <v>142</v>
      </c>
      <c r="B65" s="34">
        <f>B59</f>
        <v>1967.586769</v>
      </c>
      <c r="C65" s="75" t="s">
        <v>143</v>
      </c>
    </row>
    <row r="66">
      <c r="A66" s="74" t="s">
        <v>16</v>
      </c>
      <c r="B66" s="34">
        <f>B47</f>
        <v>13882.26507</v>
      </c>
      <c r="C66" s="75" t="s">
        <v>144</v>
      </c>
    </row>
    <row r="67">
      <c r="B67" s="76"/>
    </row>
    <row r="68">
      <c r="B68" s="76"/>
    </row>
    <row r="69">
      <c r="B69" s="76"/>
    </row>
    <row r="70">
      <c r="B70" s="76"/>
    </row>
    <row r="71">
      <c r="B71" s="76"/>
    </row>
    <row r="72">
      <c r="B72" s="76"/>
    </row>
    <row r="73">
      <c r="B73" s="76"/>
    </row>
    <row r="74">
      <c r="B74" s="76"/>
    </row>
    <row r="75">
      <c r="B75" s="76"/>
    </row>
    <row r="76">
      <c r="B76" s="76"/>
    </row>
    <row r="77">
      <c r="B77" s="76"/>
    </row>
    <row r="78">
      <c r="B78" s="76"/>
    </row>
    <row r="79">
      <c r="B79" s="76"/>
    </row>
    <row r="80">
      <c r="B80" s="76"/>
    </row>
    <row r="81">
      <c r="B81" s="76"/>
    </row>
    <row r="82">
      <c r="B82" s="76"/>
    </row>
    <row r="83">
      <c r="B83" s="76"/>
    </row>
    <row r="84">
      <c r="B84" s="76"/>
    </row>
    <row r="85">
      <c r="B85" s="76"/>
    </row>
    <row r="86">
      <c r="B86" s="76"/>
    </row>
    <row r="87">
      <c r="B87" s="76"/>
    </row>
    <row r="88">
      <c r="B88" s="76"/>
    </row>
    <row r="89">
      <c r="B89" s="76"/>
    </row>
    <row r="90">
      <c r="B90" s="76"/>
    </row>
    <row r="91">
      <c r="B91" s="76"/>
    </row>
    <row r="92">
      <c r="B92" s="76"/>
    </row>
    <row r="93">
      <c r="B93" s="76"/>
    </row>
    <row r="94">
      <c r="B94" s="76"/>
    </row>
    <row r="95">
      <c r="B95" s="76"/>
    </row>
    <row r="96">
      <c r="B96" s="76"/>
    </row>
    <row r="97">
      <c r="B97" s="76"/>
    </row>
    <row r="98">
      <c r="B98" s="76"/>
    </row>
    <row r="99">
      <c r="B99" s="76"/>
    </row>
    <row r="100">
      <c r="B100" s="76"/>
    </row>
    <row r="101">
      <c r="B101" s="76"/>
    </row>
    <row r="102">
      <c r="B102" s="76"/>
    </row>
    <row r="103">
      <c r="B103" s="76"/>
    </row>
    <row r="104">
      <c r="B104" s="76"/>
    </row>
    <row r="105">
      <c r="B105" s="76"/>
    </row>
    <row r="106">
      <c r="B106" s="76"/>
    </row>
    <row r="107">
      <c r="B107" s="76"/>
    </row>
    <row r="108">
      <c r="B108" s="76"/>
    </row>
    <row r="109">
      <c r="B109" s="76"/>
    </row>
    <row r="110">
      <c r="B110" s="76"/>
    </row>
    <row r="111">
      <c r="B111" s="76"/>
    </row>
    <row r="112">
      <c r="B112" s="76"/>
    </row>
    <row r="113">
      <c r="B113" s="76"/>
    </row>
    <row r="114">
      <c r="B114" s="76"/>
    </row>
    <row r="115">
      <c r="B115" s="76"/>
    </row>
    <row r="116">
      <c r="B116" s="76"/>
    </row>
    <row r="117">
      <c r="B117" s="76"/>
    </row>
    <row r="118">
      <c r="B118" s="76"/>
    </row>
    <row r="119">
      <c r="B119" s="76"/>
    </row>
    <row r="120">
      <c r="B120" s="76"/>
    </row>
    <row r="121">
      <c r="B121" s="76"/>
    </row>
    <row r="122">
      <c r="B122" s="76"/>
    </row>
    <row r="123">
      <c r="B123" s="76"/>
    </row>
    <row r="124">
      <c r="B124" s="76"/>
    </row>
    <row r="125">
      <c r="B125" s="76"/>
    </row>
    <row r="126">
      <c r="B126" s="76"/>
    </row>
    <row r="127">
      <c r="B127" s="76"/>
    </row>
    <row r="128">
      <c r="B128" s="76"/>
    </row>
    <row r="129">
      <c r="B129" s="76"/>
    </row>
    <row r="130">
      <c r="B130" s="76"/>
    </row>
    <row r="131">
      <c r="B131" s="76"/>
    </row>
    <row r="132">
      <c r="B132" s="76"/>
    </row>
    <row r="133">
      <c r="B133" s="76"/>
    </row>
    <row r="134">
      <c r="B134" s="76"/>
    </row>
    <row r="135">
      <c r="B135" s="76"/>
    </row>
    <row r="136">
      <c r="B136" s="76"/>
    </row>
    <row r="137">
      <c r="B137" s="76"/>
    </row>
    <row r="138">
      <c r="B138" s="76"/>
    </row>
    <row r="139">
      <c r="B139" s="76"/>
    </row>
    <row r="140">
      <c r="B140" s="76"/>
    </row>
    <row r="141">
      <c r="B141" s="76"/>
    </row>
    <row r="142">
      <c r="B142" s="76"/>
    </row>
    <row r="143">
      <c r="B143" s="76"/>
    </row>
    <row r="144">
      <c r="B144" s="76"/>
    </row>
    <row r="145">
      <c r="B145" s="76"/>
    </row>
    <row r="146">
      <c r="B146" s="76"/>
    </row>
    <row r="147">
      <c r="B147" s="76"/>
    </row>
    <row r="148">
      <c r="B148" s="76"/>
    </row>
    <row r="149">
      <c r="B149" s="76"/>
    </row>
    <row r="150">
      <c r="B150" s="76"/>
    </row>
    <row r="151">
      <c r="B151" s="76"/>
    </row>
    <row r="152">
      <c r="B152" s="76"/>
    </row>
    <row r="153">
      <c r="B153" s="76"/>
    </row>
    <row r="154">
      <c r="B154" s="76"/>
    </row>
    <row r="155">
      <c r="B155" s="76"/>
    </row>
    <row r="156">
      <c r="B156" s="76"/>
    </row>
    <row r="157">
      <c r="B157" s="76"/>
    </row>
    <row r="158">
      <c r="B158" s="76"/>
    </row>
    <row r="159">
      <c r="B159" s="76"/>
    </row>
    <row r="160">
      <c r="B160" s="76"/>
    </row>
    <row r="161">
      <c r="B161" s="76"/>
    </row>
    <row r="162">
      <c r="B162" s="76"/>
    </row>
    <row r="163">
      <c r="B163" s="76"/>
    </row>
    <row r="164">
      <c r="B164" s="76"/>
    </row>
    <row r="165">
      <c r="B165" s="76"/>
    </row>
    <row r="166">
      <c r="B166" s="76"/>
    </row>
    <row r="167">
      <c r="B167" s="76"/>
    </row>
    <row r="168">
      <c r="B168" s="76"/>
    </row>
    <row r="169">
      <c r="B169" s="76"/>
    </row>
    <row r="170">
      <c r="B170" s="76"/>
    </row>
    <row r="171">
      <c r="B171" s="76"/>
    </row>
    <row r="172">
      <c r="B172" s="76"/>
    </row>
    <row r="173">
      <c r="B173" s="76"/>
    </row>
    <row r="174">
      <c r="B174" s="76"/>
    </row>
    <row r="175">
      <c r="B175" s="76"/>
    </row>
    <row r="176">
      <c r="B176" s="76"/>
    </row>
    <row r="177">
      <c r="B177" s="76"/>
    </row>
    <row r="178">
      <c r="B178" s="76"/>
    </row>
    <row r="179">
      <c r="B179" s="76"/>
    </row>
    <row r="180">
      <c r="B180" s="76"/>
    </row>
    <row r="181">
      <c r="B181" s="76"/>
    </row>
    <row r="182">
      <c r="B182" s="76"/>
    </row>
    <row r="183">
      <c r="B183" s="76"/>
    </row>
    <row r="184">
      <c r="B184" s="76"/>
    </row>
    <row r="185">
      <c r="B185" s="76"/>
    </row>
    <row r="186">
      <c r="B186" s="76"/>
    </row>
    <row r="187">
      <c r="B187" s="76"/>
    </row>
    <row r="188">
      <c r="B188" s="76"/>
    </row>
    <row r="189">
      <c r="B189" s="76"/>
    </row>
    <row r="190">
      <c r="B190" s="76"/>
    </row>
    <row r="191">
      <c r="B191" s="76"/>
    </row>
    <row r="192">
      <c r="B192" s="76"/>
    </row>
    <row r="193">
      <c r="B193" s="76"/>
    </row>
    <row r="194">
      <c r="B194" s="76"/>
    </row>
    <row r="195">
      <c r="B195" s="76"/>
    </row>
    <row r="196">
      <c r="B196" s="76"/>
    </row>
    <row r="197">
      <c r="B197" s="76"/>
    </row>
    <row r="198">
      <c r="B198" s="76"/>
    </row>
    <row r="199">
      <c r="B199" s="76"/>
    </row>
    <row r="200">
      <c r="B200" s="76"/>
    </row>
    <row r="201">
      <c r="B201" s="76"/>
    </row>
    <row r="202">
      <c r="B202" s="76"/>
    </row>
    <row r="203">
      <c r="B203" s="76"/>
    </row>
    <row r="204">
      <c r="B204" s="76"/>
    </row>
    <row r="205">
      <c r="B205" s="76"/>
    </row>
    <row r="206">
      <c r="B206" s="76"/>
    </row>
    <row r="207">
      <c r="B207" s="76"/>
    </row>
    <row r="208">
      <c r="B208" s="76"/>
    </row>
    <row r="209">
      <c r="B209" s="76"/>
    </row>
    <row r="210">
      <c r="B210" s="76"/>
    </row>
    <row r="211">
      <c r="B211" s="76"/>
    </row>
    <row r="212">
      <c r="B212" s="76"/>
    </row>
    <row r="213">
      <c r="B213" s="76"/>
    </row>
    <row r="214">
      <c r="B214" s="76"/>
    </row>
    <row r="215">
      <c r="B215" s="76"/>
    </row>
    <row r="216">
      <c r="B216" s="76"/>
    </row>
    <row r="217">
      <c r="B217" s="76"/>
    </row>
    <row r="218">
      <c r="B218" s="76"/>
    </row>
    <row r="219">
      <c r="B219" s="76"/>
    </row>
    <row r="220">
      <c r="B220" s="76"/>
    </row>
    <row r="221">
      <c r="B221" s="76"/>
    </row>
    <row r="222">
      <c r="B222" s="76"/>
    </row>
    <row r="223">
      <c r="B223" s="76"/>
    </row>
    <row r="224">
      <c r="B224" s="76"/>
    </row>
    <row r="225">
      <c r="B225" s="76"/>
    </row>
    <row r="226">
      <c r="B226" s="76"/>
    </row>
    <row r="227">
      <c r="B227" s="76"/>
    </row>
    <row r="228">
      <c r="B228" s="76"/>
    </row>
    <row r="229">
      <c r="B229" s="76"/>
    </row>
    <row r="230">
      <c r="B230" s="76"/>
    </row>
    <row r="231">
      <c r="B231" s="76"/>
    </row>
    <row r="232">
      <c r="B232" s="76"/>
    </row>
    <row r="233">
      <c r="B233" s="76"/>
    </row>
    <row r="234">
      <c r="B234" s="76"/>
    </row>
    <row r="235">
      <c r="B235" s="76"/>
    </row>
    <row r="236">
      <c r="B236" s="76"/>
    </row>
    <row r="237">
      <c r="B237" s="76"/>
    </row>
    <row r="238">
      <c r="B238" s="76"/>
    </row>
    <row r="239">
      <c r="B239" s="76"/>
    </row>
    <row r="240">
      <c r="B240" s="76"/>
    </row>
    <row r="241">
      <c r="B241" s="76"/>
    </row>
    <row r="242">
      <c r="B242" s="76"/>
    </row>
    <row r="243">
      <c r="B243" s="76"/>
    </row>
    <row r="244">
      <c r="B244" s="76"/>
    </row>
    <row r="245">
      <c r="B245" s="76"/>
    </row>
    <row r="246">
      <c r="B246" s="76"/>
    </row>
    <row r="247">
      <c r="B247" s="76"/>
    </row>
    <row r="248">
      <c r="B248" s="76"/>
    </row>
    <row r="249">
      <c r="B249" s="76"/>
    </row>
    <row r="250">
      <c r="B250" s="76"/>
    </row>
    <row r="251">
      <c r="B251" s="76"/>
    </row>
    <row r="252">
      <c r="B252" s="76"/>
    </row>
    <row r="253">
      <c r="B253" s="76"/>
    </row>
    <row r="254">
      <c r="B254" s="76"/>
    </row>
    <row r="255">
      <c r="B255" s="76"/>
    </row>
    <row r="256">
      <c r="B256" s="76"/>
    </row>
    <row r="257">
      <c r="B257" s="76"/>
    </row>
    <row r="258">
      <c r="B258" s="76"/>
    </row>
    <row r="259">
      <c r="B259" s="76"/>
    </row>
    <row r="260">
      <c r="B260" s="76"/>
    </row>
    <row r="261">
      <c r="B261" s="76"/>
    </row>
    <row r="262">
      <c r="B262" s="76"/>
    </row>
    <row r="263">
      <c r="B263" s="76"/>
    </row>
    <row r="264">
      <c r="B264" s="76"/>
    </row>
    <row r="265">
      <c r="B265" s="76"/>
    </row>
    <row r="266">
      <c r="B266" s="76"/>
    </row>
    <row r="267">
      <c r="B267" s="76"/>
    </row>
    <row r="268">
      <c r="B268" s="76"/>
    </row>
    <row r="269">
      <c r="B269" s="76"/>
    </row>
    <row r="270">
      <c r="B270" s="76"/>
    </row>
    <row r="271">
      <c r="B271" s="76"/>
    </row>
    <row r="272">
      <c r="B272" s="76"/>
    </row>
    <row r="273">
      <c r="B273" s="76"/>
    </row>
    <row r="274">
      <c r="B274" s="76"/>
    </row>
    <row r="275">
      <c r="B275" s="76"/>
    </row>
    <row r="276">
      <c r="B276" s="76"/>
    </row>
    <row r="277">
      <c r="B277" s="76"/>
    </row>
    <row r="278">
      <c r="B278" s="76"/>
    </row>
    <row r="279">
      <c r="B279" s="76"/>
    </row>
    <row r="280">
      <c r="B280" s="76"/>
    </row>
    <row r="281">
      <c r="B281" s="76"/>
    </row>
    <row r="282">
      <c r="B282" s="76"/>
    </row>
    <row r="283">
      <c r="B283" s="76"/>
    </row>
    <row r="284">
      <c r="B284" s="76"/>
    </row>
    <row r="285">
      <c r="B285" s="76"/>
    </row>
    <row r="286">
      <c r="B286" s="76"/>
    </row>
    <row r="287">
      <c r="B287" s="76"/>
    </row>
    <row r="288">
      <c r="B288" s="76"/>
    </row>
    <row r="289">
      <c r="B289" s="76"/>
    </row>
    <row r="290">
      <c r="B290" s="76"/>
    </row>
    <row r="291">
      <c r="B291" s="76"/>
    </row>
    <row r="292">
      <c r="B292" s="76"/>
    </row>
    <row r="293">
      <c r="B293" s="76"/>
    </row>
    <row r="294">
      <c r="B294" s="76"/>
    </row>
    <row r="295">
      <c r="B295" s="76"/>
    </row>
    <row r="296">
      <c r="B296" s="76"/>
    </row>
    <row r="297">
      <c r="B297" s="76"/>
    </row>
    <row r="298">
      <c r="B298" s="76"/>
    </row>
    <row r="299">
      <c r="B299" s="76"/>
    </row>
    <row r="300">
      <c r="B300" s="76"/>
    </row>
    <row r="301">
      <c r="B301" s="76"/>
    </row>
    <row r="302">
      <c r="B302" s="76"/>
    </row>
    <row r="303">
      <c r="B303" s="76"/>
    </row>
    <row r="304">
      <c r="B304" s="76"/>
    </row>
    <row r="305">
      <c r="B305" s="76"/>
    </row>
    <row r="306">
      <c r="B306" s="76"/>
    </row>
    <row r="307">
      <c r="B307" s="76"/>
    </row>
    <row r="308">
      <c r="B308" s="76"/>
    </row>
    <row r="309">
      <c r="B309" s="76"/>
    </row>
    <row r="310">
      <c r="B310" s="76"/>
    </row>
    <row r="311">
      <c r="B311" s="76"/>
    </row>
    <row r="312">
      <c r="B312" s="76"/>
    </row>
    <row r="313">
      <c r="B313" s="76"/>
    </row>
    <row r="314">
      <c r="B314" s="76"/>
    </row>
    <row r="315">
      <c r="B315" s="76"/>
    </row>
    <row r="316">
      <c r="B316" s="76"/>
    </row>
    <row r="317">
      <c r="B317" s="76"/>
    </row>
    <row r="318">
      <c r="B318" s="76"/>
    </row>
    <row r="319">
      <c r="B319" s="76"/>
    </row>
    <row r="320">
      <c r="B320" s="76"/>
    </row>
    <row r="321">
      <c r="B321" s="76"/>
    </row>
    <row r="322">
      <c r="B322" s="76"/>
    </row>
    <row r="323">
      <c r="B323" s="76"/>
    </row>
    <row r="324">
      <c r="B324" s="76"/>
    </row>
    <row r="325">
      <c r="B325" s="76"/>
    </row>
    <row r="326">
      <c r="B326" s="76"/>
    </row>
    <row r="327">
      <c r="B327" s="76"/>
    </row>
    <row r="328">
      <c r="B328" s="76"/>
    </row>
    <row r="329">
      <c r="B329" s="76"/>
    </row>
    <row r="330">
      <c r="B330" s="76"/>
    </row>
    <row r="331">
      <c r="B331" s="76"/>
    </row>
    <row r="332">
      <c r="B332" s="76"/>
    </row>
    <row r="333">
      <c r="B333" s="76"/>
    </row>
    <row r="334">
      <c r="B334" s="76"/>
    </row>
    <row r="335">
      <c r="B335" s="76"/>
    </row>
    <row r="336">
      <c r="B336" s="76"/>
    </row>
    <row r="337">
      <c r="B337" s="76"/>
    </row>
    <row r="338">
      <c r="B338" s="76"/>
    </row>
    <row r="339">
      <c r="B339" s="76"/>
    </row>
    <row r="340">
      <c r="B340" s="76"/>
    </row>
    <row r="341">
      <c r="B341" s="76"/>
    </row>
    <row r="342">
      <c r="B342" s="76"/>
    </row>
    <row r="343">
      <c r="B343" s="76"/>
    </row>
    <row r="344">
      <c r="B344" s="76"/>
    </row>
    <row r="345">
      <c r="B345" s="76"/>
    </row>
    <row r="346">
      <c r="B346" s="76"/>
    </row>
    <row r="347">
      <c r="B347" s="76"/>
    </row>
    <row r="348">
      <c r="B348" s="76"/>
    </row>
    <row r="349">
      <c r="B349" s="76"/>
    </row>
    <row r="350">
      <c r="B350" s="76"/>
    </row>
    <row r="351">
      <c r="B351" s="76"/>
    </row>
    <row r="352">
      <c r="B352" s="76"/>
    </row>
    <row r="353">
      <c r="B353" s="76"/>
    </row>
    <row r="354">
      <c r="B354" s="76"/>
    </row>
    <row r="355">
      <c r="B355" s="76"/>
    </row>
    <row r="356">
      <c r="B356" s="76"/>
    </row>
    <row r="357">
      <c r="B357" s="76"/>
    </row>
    <row r="358">
      <c r="B358" s="76"/>
    </row>
    <row r="359">
      <c r="B359" s="76"/>
    </row>
    <row r="360">
      <c r="B360" s="76"/>
    </row>
    <row r="361">
      <c r="B361" s="76"/>
    </row>
    <row r="362">
      <c r="B362" s="76"/>
    </row>
    <row r="363">
      <c r="B363" s="76"/>
    </row>
    <row r="364">
      <c r="B364" s="76"/>
    </row>
    <row r="365">
      <c r="B365" s="76"/>
    </row>
    <row r="366">
      <c r="B366" s="76"/>
    </row>
    <row r="367">
      <c r="B367" s="76"/>
    </row>
    <row r="368">
      <c r="B368" s="76"/>
    </row>
    <row r="369">
      <c r="B369" s="76"/>
    </row>
    <row r="370">
      <c r="B370" s="76"/>
    </row>
    <row r="371">
      <c r="B371" s="76"/>
    </row>
    <row r="372">
      <c r="B372" s="76"/>
    </row>
    <row r="373">
      <c r="B373" s="76"/>
    </row>
    <row r="374">
      <c r="B374" s="76"/>
    </row>
    <row r="375">
      <c r="B375" s="76"/>
    </row>
    <row r="376">
      <c r="B376" s="76"/>
    </row>
    <row r="377">
      <c r="B377" s="76"/>
    </row>
    <row r="378">
      <c r="B378" s="76"/>
    </row>
    <row r="379">
      <c r="B379" s="76"/>
    </row>
    <row r="380">
      <c r="B380" s="76"/>
    </row>
    <row r="381">
      <c r="B381" s="76"/>
    </row>
    <row r="382">
      <c r="B382" s="76"/>
    </row>
    <row r="383">
      <c r="B383" s="76"/>
    </row>
    <row r="384">
      <c r="B384" s="76"/>
    </row>
    <row r="385">
      <c r="B385" s="76"/>
    </row>
    <row r="386">
      <c r="B386" s="76"/>
    </row>
    <row r="387">
      <c r="B387" s="76"/>
    </row>
    <row r="388">
      <c r="B388" s="76"/>
    </row>
    <row r="389">
      <c r="B389" s="76"/>
    </row>
    <row r="390">
      <c r="B390" s="76"/>
    </row>
    <row r="391">
      <c r="B391" s="76"/>
    </row>
    <row r="392">
      <c r="B392" s="76"/>
    </row>
    <row r="393">
      <c r="B393" s="76"/>
    </row>
    <row r="394">
      <c r="B394" s="76"/>
    </row>
    <row r="395">
      <c r="B395" s="76"/>
    </row>
    <row r="396">
      <c r="B396" s="76"/>
    </row>
    <row r="397">
      <c r="B397" s="76"/>
    </row>
    <row r="398">
      <c r="B398" s="76"/>
    </row>
    <row r="399">
      <c r="B399" s="76"/>
    </row>
    <row r="400">
      <c r="B400" s="76"/>
    </row>
    <row r="401">
      <c r="B401" s="76"/>
    </row>
    <row r="402">
      <c r="B402" s="76"/>
    </row>
    <row r="403">
      <c r="B403" s="76"/>
    </row>
    <row r="404">
      <c r="B404" s="76"/>
    </row>
    <row r="405">
      <c r="B405" s="76"/>
    </row>
    <row r="406">
      <c r="B406" s="76"/>
    </row>
    <row r="407">
      <c r="B407" s="76"/>
    </row>
    <row r="408">
      <c r="B408" s="76"/>
    </row>
    <row r="409">
      <c r="B409" s="76"/>
    </row>
    <row r="410">
      <c r="B410" s="76"/>
    </row>
    <row r="411">
      <c r="B411" s="76"/>
    </row>
    <row r="412">
      <c r="B412" s="76"/>
    </row>
    <row r="413">
      <c r="B413" s="76"/>
    </row>
    <row r="414">
      <c r="B414" s="76"/>
    </row>
    <row r="415">
      <c r="B415" s="76"/>
    </row>
    <row r="416">
      <c r="B416" s="76"/>
    </row>
    <row r="417">
      <c r="B417" s="76"/>
    </row>
    <row r="418">
      <c r="B418" s="76"/>
    </row>
    <row r="419">
      <c r="B419" s="76"/>
    </row>
    <row r="420">
      <c r="B420" s="76"/>
    </row>
    <row r="421">
      <c r="B421" s="76"/>
    </row>
    <row r="422">
      <c r="B422" s="76"/>
    </row>
    <row r="423">
      <c r="B423" s="76"/>
    </row>
    <row r="424">
      <c r="B424" s="76"/>
    </row>
    <row r="425">
      <c r="B425" s="76"/>
    </row>
    <row r="426">
      <c r="B426" s="76"/>
    </row>
    <row r="427">
      <c r="B427" s="76"/>
    </row>
    <row r="428">
      <c r="B428" s="76"/>
    </row>
    <row r="429">
      <c r="B429" s="76"/>
    </row>
    <row r="430">
      <c r="B430" s="76"/>
    </row>
    <row r="431">
      <c r="B431" s="76"/>
    </row>
    <row r="432">
      <c r="B432" s="76"/>
    </row>
    <row r="433">
      <c r="B433" s="76"/>
    </row>
    <row r="434">
      <c r="B434" s="76"/>
    </row>
    <row r="435">
      <c r="B435" s="76"/>
    </row>
    <row r="436">
      <c r="B436" s="76"/>
    </row>
    <row r="437">
      <c r="B437" s="76"/>
    </row>
    <row r="438">
      <c r="B438" s="76"/>
    </row>
    <row r="439">
      <c r="B439" s="76"/>
    </row>
    <row r="440">
      <c r="B440" s="76"/>
    </row>
    <row r="441">
      <c r="B441" s="76"/>
    </row>
    <row r="442">
      <c r="B442" s="76"/>
    </row>
    <row r="443">
      <c r="B443" s="76"/>
    </row>
    <row r="444">
      <c r="B444" s="76"/>
    </row>
    <row r="445">
      <c r="B445" s="76"/>
    </row>
    <row r="446">
      <c r="B446" s="76"/>
    </row>
    <row r="447">
      <c r="B447" s="76"/>
    </row>
    <row r="448">
      <c r="B448" s="76"/>
    </row>
    <row r="449">
      <c r="B449" s="76"/>
    </row>
    <row r="450">
      <c r="B450" s="76"/>
    </row>
    <row r="451">
      <c r="B451" s="76"/>
    </row>
    <row r="452">
      <c r="B452" s="76"/>
    </row>
    <row r="453">
      <c r="B453" s="76"/>
    </row>
    <row r="454">
      <c r="B454" s="76"/>
    </row>
    <row r="455">
      <c r="B455" s="76"/>
    </row>
    <row r="456">
      <c r="B456" s="76"/>
    </row>
    <row r="457">
      <c r="B457" s="76"/>
    </row>
    <row r="458">
      <c r="B458" s="76"/>
    </row>
    <row r="459">
      <c r="B459" s="76"/>
    </row>
    <row r="460">
      <c r="B460" s="76"/>
    </row>
    <row r="461">
      <c r="B461" s="76"/>
    </row>
    <row r="462">
      <c r="B462" s="76"/>
    </row>
    <row r="463">
      <c r="B463" s="76"/>
    </row>
    <row r="464">
      <c r="B464" s="76"/>
    </row>
    <row r="465">
      <c r="B465" s="76"/>
    </row>
    <row r="466">
      <c r="B466" s="76"/>
    </row>
    <row r="467">
      <c r="B467" s="76"/>
    </row>
    <row r="468">
      <c r="B468" s="76"/>
    </row>
    <row r="469">
      <c r="B469" s="76"/>
    </row>
    <row r="470">
      <c r="B470" s="76"/>
    </row>
    <row r="471">
      <c r="B471" s="76"/>
    </row>
    <row r="472">
      <c r="B472" s="76"/>
    </row>
    <row r="473">
      <c r="B473" s="76"/>
    </row>
    <row r="474">
      <c r="B474" s="76"/>
    </row>
    <row r="475">
      <c r="B475" s="76"/>
    </row>
    <row r="476">
      <c r="B476" s="76"/>
    </row>
    <row r="477">
      <c r="B477" s="76"/>
    </row>
    <row r="478">
      <c r="B478" s="76"/>
    </row>
    <row r="479">
      <c r="B479" s="76"/>
    </row>
    <row r="480">
      <c r="B480" s="76"/>
    </row>
    <row r="481">
      <c r="B481" s="76"/>
    </row>
    <row r="482">
      <c r="B482" s="76"/>
    </row>
    <row r="483">
      <c r="B483" s="76"/>
    </row>
    <row r="484">
      <c r="B484" s="76"/>
    </row>
    <row r="485">
      <c r="B485" s="76"/>
    </row>
    <row r="486">
      <c r="B486" s="76"/>
    </row>
    <row r="487">
      <c r="B487" s="76"/>
    </row>
    <row r="488">
      <c r="B488" s="76"/>
    </row>
    <row r="489">
      <c r="B489" s="76"/>
    </row>
    <row r="490">
      <c r="B490" s="76"/>
    </row>
    <row r="491">
      <c r="B491" s="76"/>
    </row>
    <row r="492">
      <c r="B492" s="76"/>
    </row>
    <row r="493">
      <c r="B493" s="76"/>
    </row>
    <row r="494">
      <c r="B494" s="76"/>
    </row>
    <row r="495">
      <c r="B495" s="76"/>
    </row>
    <row r="496">
      <c r="B496" s="76"/>
    </row>
    <row r="497">
      <c r="B497" s="76"/>
    </row>
    <row r="498">
      <c r="B498" s="76"/>
    </row>
    <row r="499">
      <c r="B499" s="76"/>
    </row>
    <row r="500">
      <c r="B500" s="76"/>
    </row>
    <row r="501">
      <c r="B501" s="76"/>
    </row>
    <row r="502">
      <c r="B502" s="76"/>
    </row>
    <row r="503">
      <c r="B503" s="76"/>
    </row>
    <row r="504">
      <c r="B504" s="76"/>
    </row>
    <row r="505">
      <c r="B505" s="76"/>
    </row>
    <row r="506">
      <c r="B506" s="76"/>
    </row>
    <row r="507">
      <c r="B507" s="76"/>
    </row>
    <row r="508">
      <c r="B508" s="76"/>
    </row>
    <row r="509">
      <c r="B509" s="76"/>
    </row>
    <row r="510">
      <c r="B510" s="76"/>
    </row>
    <row r="511">
      <c r="B511" s="76"/>
    </row>
    <row r="512">
      <c r="B512" s="76"/>
    </row>
    <row r="513">
      <c r="B513" s="76"/>
    </row>
    <row r="514">
      <c r="B514" s="76"/>
    </row>
    <row r="515">
      <c r="B515" s="76"/>
    </row>
    <row r="516">
      <c r="B516" s="76"/>
    </row>
    <row r="517">
      <c r="B517" s="76"/>
    </row>
    <row r="518">
      <c r="B518" s="76"/>
    </row>
    <row r="519">
      <c r="B519" s="76"/>
    </row>
    <row r="520">
      <c r="B520" s="76"/>
    </row>
    <row r="521">
      <c r="B521" s="76"/>
    </row>
    <row r="522">
      <c r="B522" s="76"/>
    </row>
    <row r="523">
      <c r="B523" s="76"/>
    </row>
    <row r="524">
      <c r="B524" s="76"/>
    </row>
    <row r="525">
      <c r="B525" s="76"/>
    </row>
    <row r="526">
      <c r="B526" s="76"/>
    </row>
    <row r="527">
      <c r="B527" s="76"/>
    </row>
    <row r="528">
      <c r="B528" s="76"/>
    </row>
    <row r="529">
      <c r="B529" s="76"/>
    </row>
    <row r="530">
      <c r="B530" s="76"/>
    </row>
    <row r="531">
      <c r="B531" s="76"/>
    </row>
    <row r="532">
      <c r="B532" s="76"/>
    </row>
    <row r="533">
      <c r="B533" s="76"/>
    </row>
    <row r="534">
      <c r="B534" s="76"/>
    </row>
    <row r="535">
      <c r="B535" s="76"/>
    </row>
    <row r="536">
      <c r="B536" s="76"/>
    </row>
    <row r="537">
      <c r="B537" s="76"/>
    </row>
    <row r="538">
      <c r="B538" s="76"/>
    </row>
    <row r="539">
      <c r="B539" s="76"/>
    </row>
    <row r="540">
      <c r="B540" s="76"/>
    </row>
    <row r="541">
      <c r="B541" s="76"/>
    </row>
    <row r="542">
      <c r="B542" s="76"/>
    </row>
    <row r="543">
      <c r="B543" s="76"/>
    </row>
    <row r="544">
      <c r="B544" s="76"/>
    </row>
    <row r="545">
      <c r="B545" s="76"/>
    </row>
    <row r="546">
      <c r="B546" s="76"/>
    </row>
    <row r="547">
      <c r="B547" s="76"/>
    </row>
    <row r="548">
      <c r="B548" s="76"/>
    </row>
    <row r="549">
      <c r="B549" s="76"/>
    </row>
    <row r="550">
      <c r="B550" s="76"/>
    </row>
    <row r="551">
      <c r="B551" s="76"/>
    </row>
    <row r="552">
      <c r="B552" s="76"/>
    </row>
    <row r="553">
      <c r="B553" s="76"/>
    </row>
    <row r="554">
      <c r="B554" s="76"/>
    </row>
    <row r="555">
      <c r="B555" s="76"/>
    </row>
    <row r="556">
      <c r="B556" s="76"/>
    </row>
    <row r="557">
      <c r="B557" s="76"/>
    </row>
    <row r="558">
      <c r="B558" s="76"/>
    </row>
    <row r="559">
      <c r="B559" s="76"/>
    </row>
    <row r="560">
      <c r="B560" s="76"/>
    </row>
    <row r="561">
      <c r="B561" s="76"/>
    </row>
    <row r="562">
      <c r="B562" s="76"/>
    </row>
    <row r="563">
      <c r="B563" s="76"/>
    </row>
    <row r="564">
      <c r="B564" s="76"/>
    </row>
    <row r="565">
      <c r="B565" s="76"/>
    </row>
    <row r="566">
      <c r="B566" s="76"/>
    </row>
    <row r="567">
      <c r="B567" s="76"/>
    </row>
    <row r="568">
      <c r="B568" s="76"/>
    </row>
    <row r="569">
      <c r="B569" s="76"/>
    </row>
    <row r="570">
      <c r="B570" s="76"/>
    </row>
    <row r="571">
      <c r="B571" s="76"/>
    </row>
    <row r="572">
      <c r="B572" s="76"/>
    </row>
    <row r="573">
      <c r="B573" s="76"/>
    </row>
    <row r="574">
      <c r="B574" s="76"/>
    </row>
    <row r="575">
      <c r="B575" s="76"/>
    </row>
    <row r="576">
      <c r="B576" s="76"/>
    </row>
    <row r="577">
      <c r="B577" s="76"/>
    </row>
    <row r="578">
      <c r="B578" s="76"/>
    </row>
    <row r="579">
      <c r="B579" s="76"/>
    </row>
    <row r="580">
      <c r="B580" s="76"/>
    </row>
    <row r="581">
      <c r="B581" s="76"/>
    </row>
    <row r="582">
      <c r="B582" s="76"/>
    </row>
    <row r="583">
      <c r="B583" s="76"/>
    </row>
    <row r="584">
      <c r="B584" s="76"/>
    </row>
    <row r="585">
      <c r="B585" s="76"/>
    </row>
    <row r="586">
      <c r="B586" s="76"/>
    </row>
    <row r="587">
      <c r="B587" s="76"/>
    </row>
    <row r="588">
      <c r="B588" s="76"/>
    </row>
    <row r="589">
      <c r="B589" s="76"/>
    </row>
    <row r="590">
      <c r="B590" s="76"/>
    </row>
    <row r="591">
      <c r="B591" s="76"/>
    </row>
    <row r="592">
      <c r="B592" s="76"/>
    </row>
    <row r="593">
      <c r="B593" s="76"/>
    </row>
    <row r="594">
      <c r="B594" s="76"/>
    </row>
    <row r="595">
      <c r="B595" s="76"/>
    </row>
    <row r="596">
      <c r="B596" s="76"/>
    </row>
    <row r="597">
      <c r="B597" s="76"/>
    </row>
    <row r="598">
      <c r="B598" s="76"/>
    </row>
    <row r="599">
      <c r="B599" s="76"/>
    </row>
    <row r="600">
      <c r="B600" s="76"/>
    </row>
    <row r="601">
      <c r="B601" s="76"/>
    </row>
    <row r="602">
      <c r="B602" s="76"/>
    </row>
    <row r="603">
      <c r="B603" s="76"/>
    </row>
    <row r="604">
      <c r="B604" s="76"/>
    </row>
    <row r="605">
      <c r="B605" s="76"/>
    </row>
    <row r="606">
      <c r="B606" s="76"/>
    </row>
    <row r="607">
      <c r="B607" s="76"/>
    </row>
    <row r="608">
      <c r="B608" s="76"/>
    </row>
    <row r="609">
      <c r="B609" s="76"/>
    </row>
    <row r="610">
      <c r="B610" s="76"/>
    </row>
    <row r="611">
      <c r="B611" s="76"/>
    </row>
    <row r="612">
      <c r="B612" s="76"/>
    </row>
    <row r="613">
      <c r="B613" s="76"/>
    </row>
    <row r="614">
      <c r="B614" s="76"/>
    </row>
    <row r="615">
      <c r="B615" s="76"/>
    </row>
    <row r="616">
      <c r="B616" s="76"/>
    </row>
    <row r="617">
      <c r="B617" s="76"/>
    </row>
    <row r="618">
      <c r="B618" s="76"/>
    </row>
    <row r="619">
      <c r="B619" s="76"/>
    </row>
    <row r="620">
      <c r="B620" s="76"/>
    </row>
    <row r="621">
      <c r="B621" s="76"/>
    </row>
    <row r="622">
      <c r="B622" s="76"/>
    </row>
    <row r="623">
      <c r="B623" s="76"/>
    </row>
    <row r="624">
      <c r="B624" s="76"/>
    </row>
    <row r="625">
      <c r="B625" s="76"/>
    </row>
    <row r="626">
      <c r="B626" s="76"/>
    </row>
    <row r="627">
      <c r="B627" s="76"/>
    </row>
    <row r="628">
      <c r="B628" s="76"/>
    </row>
    <row r="629">
      <c r="B629" s="76"/>
    </row>
    <row r="630">
      <c r="B630" s="76"/>
    </row>
    <row r="631">
      <c r="B631" s="76"/>
    </row>
    <row r="632">
      <c r="B632" s="76"/>
    </row>
    <row r="633">
      <c r="B633" s="76"/>
    </row>
    <row r="634">
      <c r="B634" s="76"/>
    </row>
    <row r="635">
      <c r="B635" s="76"/>
    </row>
    <row r="636">
      <c r="B636" s="76"/>
    </row>
    <row r="637">
      <c r="B637" s="76"/>
    </row>
    <row r="638">
      <c r="B638" s="76"/>
    </row>
    <row r="639">
      <c r="B639" s="76"/>
    </row>
    <row r="640">
      <c r="B640" s="76"/>
    </row>
    <row r="641">
      <c r="B641" s="76"/>
    </row>
    <row r="642">
      <c r="B642" s="76"/>
    </row>
    <row r="643">
      <c r="B643" s="76"/>
    </row>
    <row r="644">
      <c r="B644" s="76"/>
    </row>
    <row r="645">
      <c r="B645" s="76"/>
    </row>
    <row r="646">
      <c r="B646" s="76"/>
    </row>
    <row r="647">
      <c r="B647" s="76"/>
    </row>
    <row r="648">
      <c r="B648" s="76"/>
    </row>
    <row r="649">
      <c r="B649" s="76"/>
    </row>
    <row r="650">
      <c r="B650" s="76"/>
    </row>
    <row r="651">
      <c r="B651" s="76"/>
    </row>
    <row r="652">
      <c r="B652" s="76"/>
    </row>
    <row r="653">
      <c r="B653" s="76"/>
    </row>
    <row r="654">
      <c r="B654" s="76"/>
    </row>
    <row r="655">
      <c r="B655" s="76"/>
    </row>
    <row r="656">
      <c r="B656" s="76"/>
    </row>
    <row r="657">
      <c r="B657" s="76"/>
    </row>
    <row r="658">
      <c r="B658" s="76"/>
    </row>
    <row r="659">
      <c r="B659" s="76"/>
    </row>
    <row r="660">
      <c r="B660" s="76"/>
    </row>
    <row r="661">
      <c r="B661" s="76"/>
    </row>
    <row r="662">
      <c r="B662" s="76"/>
    </row>
    <row r="663">
      <c r="B663" s="76"/>
    </row>
    <row r="664">
      <c r="B664" s="76"/>
    </row>
    <row r="665">
      <c r="B665" s="76"/>
    </row>
    <row r="666">
      <c r="B666" s="76"/>
    </row>
    <row r="667">
      <c r="B667" s="76"/>
    </row>
    <row r="668">
      <c r="B668" s="76"/>
    </row>
    <row r="669">
      <c r="B669" s="76"/>
    </row>
    <row r="670">
      <c r="B670" s="76"/>
    </row>
    <row r="671">
      <c r="B671" s="76"/>
    </row>
    <row r="672">
      <c r="B672" s="76"/>
    </row>
    <row r="673">
      <c r="B673" s="76"/>
    </row>
    <row r="674">
      <c r="B674" s="76"/>
    </row>
    <row r="675">
      <c r="B675" s="76"/>
    </row>
    <row r="676">
      <c r="B676" s="76"/>
    </row>
    <row r="677">
      <c r="B677" s="76"/>
    </row>
    <row r="678">
      <c r="B678" s="76"/>
    </row>
    <row r="679">
      <c r="B679" s="76"/>
    </row>
    <row r="680">
      <c r="B680" s="76"/>
    </row>
    <row r="681">
      <c r="B681" s="76"/>
    </row>
    <row r="682">
      <c r="B682" s="76"/>
    </row>
    <row r="683">
      <c r="B683" s="76"/>
    </row>
    <row r="684">
      <c r="B684" s="76"/>
    </row>
    <row r="685">
      <c r="B685" s="76"/>
    </row>
    <row r="686">
      <c r="B686" s="76"/>
    </row>
    <row r="687">
      <c r="B687" s="76"/>
    </row>
    <row r="688">
      <c r="B688" s="76"/>
    </row>
    <row r="689">
      <c r="B689" s="76"/>
    </row>
    <row r="690">
      <c r="B690" s="76"/>
    </row>
    <row r="691">
      <c r="B691" s="76"/>
    </row>
    <row r="692">
      <c r="B692" s="76"/>
    </row>
    <row r="693">
      <c r="B693" s="76"/>
    </row>
    <row r="694">
      <c r="B694" s="76"/>
    </row>
    <row r="695">
      <c r="B695" s="76"/>
    </row>
    <row r="696">
      <c r="B696" s="76"/>
    </row>
    <row r="697">
      <c r="B697" s="76"/>
    </row>
    <row r="698">
      <c r="B698" s="76"/>
    </row>
    <row r="699">
      <c r="B699" s="76"/>
    </row>
    <row r="700">
      <c r="B700" s="76"/>
    </row>
    <row r="701">
      <c r="B701" s="76"/>
    </row>
    <row r="702">
      <c r="B702" s="76"/>
    </row>
    <row r="703">
      <c r="B703" s="76"/>
    </row>
    <row r="704">
      <c r="B704" s="76"/>
    </row>
    <row r="705">
      <c r="B705" s="76"/>
    </row>
    <row r="706">
      <c r="B706" s="76"/>
    </row>
    <row r="707">
      <c r="B707" s="76"/>
    </row>
    <row r="708">
      <c r="B708" s="76"/>
    </row>
    <row r="709">
      <c r="B709" s="76"/>
    </row>
    <row r="710">
      <c r="B710" s="76"/>
    </row>
    <row r="711">
      <c r="B711" s="76"/>
    </row>
    <row r="712">
      <c r="B712" s="76"/>
    </row>
    <row r="713">
      <c r="B713" s="76"/>
    </row>
    <row r="714">
      <c r="B714" s="76"/>
    </row>
    <row r="715">
      <c r="B715" s="76"/>
    </row>
    <row r="716">
      <c r="B716" s="76"/>
    </row>
    <row r="717">
      <c r="B717" s="76"/>
    </row>
    <row r="718">
      <c r="B718" s="76"/>
    </row>
    <row r="719">
      <c r="B719" s="76"/>
    </row>
    <row r="720">
      <c r="B720" s="76"/>
    </row>
    <row r="721">
      <c r="B721" s="76"/>
    </row>
    <row r="722">
      <c r="B722" s="76"/>
    </row>
    <row r="723">
      <c r="B723" s="76"/>
    </row>
    <row r="724">
      <c r="B724" s="76"/>
    </row>
    <row r="725">
      <c r="B725" s="76"/>
    </row>
    <row r="726">
      <c r="B726" s="76"/>
    </row>
    <row r="727">
      <c r="B727" s="76"/>
    </row>
    <row r="728">
      <c r="B728" s="76"/>
    </row>
    <row r="729">
      <c r="B729" s="76"/>
    </row>
    <row r="730">
      <c r="B730" s="76"/>
    </row>
    <row r="731">
      <c r="B731" s="76"/>
    </row>
    <row r="732">
      <c r="B732" s="76"/>
    </row>
    <row r="733">
      <c r="B733" s="76"/>
    </row>
    <row r="734">
      <c r="B734" s="76"/>
    </row>
    <row r="735">
      <c r="B735" s="76"/>
    </row>
    <row r="736">
      <c r="B736" s="76"/>
    </row>
    <row r="737">
      <c r="B737" s="76"/>
    </row>
    <row r="738">
      <c r="B738" s="76"/>
    </row>
    <row r="739">
      <c r="B739" s="76"/>
    </row>
    <row r="740">
      <c r="B740" s="76"/>
    </row>
    <row r="741">
      <c r="B741" s="76"/>
    </row>
    <row r="742">
      <c r="B742" s="76"/>
    </row>
    <row r="743">
      <c r="B743" s="76"/>
    </row>
    <row r="744">
      <c r="B744" s="76"/>
    </row>
    <row r="745">
      <c r="B745" s="76"/>
    </row>
    <row r="746">
      <c r="B746" s="76"/>
    </row>
    <row r="747">
      <c r="B747" s="76"/>
    </row>
    <row r="748">
      <c r="B748" s="76"/>
    </row>
    <row r="749">
      <c r="B749" s="76"/>
    </row>
    <row r="750">
      <c r="B750" s="76"/>
    </row>
    <row r="751">
      <c r="B751" s="76"/>
    </row>
    <row r="752">
      <c r="B752" s="76"/>
    </row>
    <row r="753">
      <c r="B753" s="76"/>
    </row>
    <row r="754">
      <c r="B754" s="76"/>
    </row>
    <row r="755">
      <c r="B755" s="76"/>
    </row>
    <row r="756">
      <c r="B756" s="76"/>
    </row>
    <row r="757">
      <c r="B757" s="76"/>
    </row>
    <row r="758">
      <c r="B758" s="76"/>
    </row>
    <row r="759">
      <c r="B759" s="76"/>
    </row>
    <row r="760">
      <c r="B760" s="76"/>
    </row>
    <row r="761">
      <c r="B761" s="76"/>
    </row>
    <row r="762">
      <c r="B762" s="76"/>
    </row>
    <row r="763">
      <c r="B763" s="76"/>
    </row>
    <row r="764">
      <c r="B764" s="76"/>
    </row>
    <row r="765">
      <c r="B765" s="76"/>
    </row>
    <row r="766">
      <c r="B766" s="76"/>
    </row>
    <row r="767">
      <c r="B767" s="76"/>
    </row>
    <row r="768">
      <c r="B768" s="76"/>
    </row>
    <row r="769">
      <c r="B769" s="76"/>
    </row>
    <row r="770">
      <c r="B770" s="76"/>
    </row>
    <row r="771">
      <c r="B771" s="76"/>
    </row>
    <row r="772">
      <c r="B772" s="76"/>
    </row>
    <row r="773">
      <c r="B773" s="76"/>
    </row>
    <row r="774">
      <c r="B774" s="76"/>
    </row>
    <row r="775">
      <c r="B775" s="76"/>
    </row>
    <row r="776">
      <c r="B776" s="76"/>
    </row>
    <row r="777">
      <c r="B777" s="76"/>
    </row>
    <row r="778">
      <c r="B778" s="76"/>
    </row>
    <row r="779">
      <c r="B779" s="76"/>
    </row>
    <row r="780">
      <c r="B780" s="76"/>
    </row>
    <row r="781">
      <c r="B781" s="76"/>
    </row>
    <row r="782">
      <c r="B782" s="76"/>
    </row>
    <row r="783">
      <c r="B783" s="76"/>
    </row>
    <row r="784">
      <c r="B784" s="76"/>
    </row>
    <row r="785">
      <c r="B785" s="76"/>
    </row>
    <row r="786">
      <c r="B786" s="76"/>
    </row>
    <row r="787">
      <c r="B787" s="76"/>
    </row>
    <row r="788">
      <c r="B788" s="76"/>
    </row>
    <row r="789">
      <c r="B789" s="76"/>
    </row>
    <row r="790">
      <c r="B790" s="76"/>
    </row>
    <row r="791">
      <c r="B791" s="76"/>
    </row>
    <row r="792">
      <c r="B792" s="76"/>
    </row>
    <row r="793">
      <c r="B793" s="76"/>
    </row>
    <row r="794">
      <c r="B794" s="76"/>
    </row>
    <row r="795">
      <c r="B795" s="76"/>
    </row>
    <row r="796">
      <c r="B796" s="76"/>
    </row>
    <row r="797">
      <c r="B797" s="76"/>
    </row>
    <row r="798">
      <c r="B798" s="76"/>
    </row>
    <row r="799">
      <c r="B799" s="76"/>
    </row>
    <row r="800">
      <c r="B800" s="76"/>
    </row>
    <row r="801">
      <c r="B801" s="76"/>
    </row>
    <row r="802">
      <c r="B802" s="76"/>
    </row>
    <row r="803">
      <c r="B803" s="76"/>
    </row>
    <row r="804">
      <c r="B804" s="76"/>
    </row>
    <row r="805">
      <c r="B805" s="76"/>
    </row>
    <row r="806">
      <c r="B806" s="76"/>
    </row>
    <row r="807">
      <c r="B807" s="76"/>
    </row>
    <row r="808">
      <c r="B808" s="76"/>
    </row>
    <row r="809">
      <c r="B809" s="76"/>
    </row>
    <row r="810">
      <c r="B810" s="76"/>
    </row>
    <row r="811">
      <c r="B811" s="76"/>
    </row>
    <row r="812">
      <c r="B812" s="76"/>
    </row>
    <row r="813">
      <c r="B813" s="76"/>
    </row>
    <row r="814">
      <c r="B814" s="76"/>
    </row>
    <row r="815">
      <c r="B815" s="76"/>
    </row>
    <row r="816">
      <c r="B816" s="76"/>
    </row>
    <row r="817">
      <c r="B817" s="76"/>
    </row>
    <row r="818">
      <c r="B818" s="76"/>
    </row>
    <row r="819">
      <c r="B819" s="76"/>
    </row>
    <row r="820">
      <c r="B820" s="76"/>
    </row>
    <row r="821">
      <c r="B821" s="76"/>
    </row>
    <row r="822">
      <c r="B822" s="76"/>
    </row>
    <row r="823">
      <c r="B823" s="76"/>
    </row>
    <row r="824">
      <c r="B824" s="76"/>
    </row>
    <row r="825">
      <c r="B825" s="76"/>
    </row>
    <row r="826">
      <c r="B826" s="76"/>
    </row>
    <row r="827">
      <c r="B827" s="76"/>
    </row>
    <row r="828">
      <c r="B828" s="76"/>
    </row>
    <row r="829">
      <c r="B829" s="76"/>
    </row>
    <row r="830">
      <c r="B830" s="76"/>
    </row>
    <row r="831">
      <c r="B831" s="76"/>
    </row>
    <row r="832">
      <c r="B832" s="76"/>
    </row>
    <row r="833">
      <c r="B833" s="76"/>
    </row>
    <row r="834">
      <c r="B834" s="76"/>
    </row>
    <row r="835">
      <c r="B835" s="76"/>
    </row>
    <row r="836">
      <c r="B836" s="76"/>
    </row>
    <row r="837">
      <c r="B837" s="76"/>
    </row>
    <row r="838">
      <c r="B838" s="76"/>
    </row>
    <row r="839">
      <c r="B839" s="76"/>
    </row>
    <row r="840">
      <c r="B840" s="76"/>
    </row>
    <row r="841">
      <c r="B841" s="76"/>
    </row>
    <row r="842">
      <c r="B842" s="76"/>
    </row>
    <row r="843">
      <c r="B843" s="76"/>
    </row>
    <row r="844">
      <c r="B844" s="76"/>
    </row>
    <row r="845">
      <c r="B845" s="76"/>
    </row>
    <row r="846">
      <c r="B846" s="76"/>
    </row>
    <row r="847">
      <c r="B847" s="76"/>
    </row>
    <row r="848">
      <c r="B848" s="76"/>
    </row>
    <row r="849">
      <c r="B849" s="76"/>
    </row>
    <row r="850">
      <c r="B850" s="76"/>
    </row>
    <row r="851">
      <c r="B851" s="76"/>
    </row>
    <row r="852">
      <c r="B852" s="76"/>
    </row>
    <row r="853">
      <c r="B853" s="76"/>
    </row>
    <row r="854">
      <c r="B854" s="76"/>
    </row>
    <row r="855">
      <c r="B855" s="76"/>
    </row>
    <row r="856">
      <c r="B856" s="76"/>
    </row>
    <row r="857">
      <c r="B857" s="76"/>
    </row>
    <row r="858">
      <c r="B858" s="76"/>
    </row>
    <row r="859">
      <c r="B859" s="76"/>
    </row>
    <row r="860">
      <c r="B860" s="76"/>
    </row>
    <row r="861">
      <c r="B861" s="76"/>
    </row>
    <row r="862">
      <c r="B862" s="76"/>
    </row>
    <row r="863">
      <c r="B863" s="76"/>
    </row>
    <row r="864">
      <c r="B864" s="76"/>
    </row>
    <row r="865">
      <c r="B865" s="76"/>
    </row>
    <row r="866">
      <c r="B866" s="76"/>
    </row>
    <row r="867">
      <c r="B867" s="76"/>
    </row>
    <row r="868">
      <c r="B868" s="76"/>
    </row>
    <row r="869">
      <c r="B869" s="76"/>
    </row>
    <row r="870">
      <c r="B870" s="76"/>
    </row>
    <row r="871">
      <c r="B871" s="76"/>
    </row>
    <row r="872">
      <c r="B872" s="76"/>
    </row>
    <row r="873">
      <c r="B873" s="76"/>
    </row>
    <row r="874">
      <c r="B874" s="76"/>
    </row>
    <row r="875">
      <c r="B875" s="76"/>
    </row>
    <row r="876">
      <c r="B876" s="76"/>
    </row>
    <row r="877">
      <c r="B877" s="76"/>
    </row>
    <row r="878">
      <c r="B878" s="76"/>
    </row>
    <row r="879">
      <c r="B879" s="76"/>
    </row>
    <row r="880">
      <c r="B880" s="76"/>
    </row>
    <row r="881">
      <c r="B881" s="76"/>
    </row>
    <row r="882">
      <c r="B882" s="76"/>
    </row>
    <row r="883">
      <c r="B883" s="76"/>
    </row>
    <row r="884">
      <c r="B884" s="76"/>
    </row>
    <row r="885">
      <c r="B885" s="76"/>
    </row>
    <row r="886">
      <c r="B886" s="76"/>
    </row>
    <row r="887">
      <c r="B887" s="76"/>
    </row>
    <row r="888">
      <c r="B888" s="76"/>
    </row>
    <row r="889">
      <c r="B889" s="76"/>
    </row>
    <row r="890">
      <c r="B890" s="76"/>
    </row>
    <row r="891">
      <c r="B891" s="76"/>
    </row>
    <row r="892">
      <c r="B892" s="76"/>
    </row>
    <row r="893">
      <c r="B893" s="76"/>
    </row>
    <row r="894">
      <c r="B894" s="76"/>
    </row>
    <row r="895">
      <c r="B895" s="76"/>
    </row>
    <row r="896">
      <c r="B896" s="76"/>
    </row>
    <row r="897">
      <c r="B897" s="76"/>
    </row>
    <row r="898">
      <c r="B898" s="76"/>
    </row>
    <row r="899">
      <c r="B899" s="76"/>
    </row>
    <row r="900">
      <c r="B900" s="76"/>
    </row>
    <row r="901">
      <c r="B901" s="76"/>
    </row>
    <row r="902">
      <c r="B902" s="76"/>
    </row>
    <row r="903">
      <c r="B903" s="76"/>
    </row>
    <row r="904">
      <c r="B904" s="76"/>
    </row>
    <row r="905">
      <c r="B905" s="76"/>
    </row>
    <row r="906">
      <c r="B906" s="76"/>
    </row>
    <row r="907">
      <c r="B907" s="76"/>
    </row>
    <row r="908">
      <c r="B908" s="76"/>
    </row>
    <row r="909">
      <c r="B909" s="76"/>
    </row>
    <row r="910">
      <c r="B910" s="76"/>
    </row>
    <row r="911">
      <c r="B911" s="76"/>
    </row>
    <row r="912">
      <c r="B912" s="76"/>
    </row>
    <row r="913">
      <c r="B913" s="76"/>
    </row>
    <row r="914">
      <c r="B914" s="76"/>
    </row>
    <row r="915">
      <c r="B915" s="76"/>
    </row>
    <row r="916">
      <c r="B916" s="76"/>
    </row>
    <row r="917">
      <c r="B917" s="76"/>
    </row>
    <row r="918">
      <c r="B918" s="76"/>
    </row>
    <row r="919">
      <c r="B919" s="76"/>
    </row>
    <row r="920">
      <c r="B920" s="76"/>
    </row>
    <row r="921">
      <c r="B921" s="76"/>
    </row>
    <row r="922">
      <c r="B922" s="76"/>
    </row>
    <row r="923">
      <c r="B923" s="76"/>
    </row>
    <row r="924">
      <c r="B924" s="76"/>
    </row>
    <row r="925">
      <c r="B925" s="76"/>
    </row>
    <row r="926">
      <c r="B926" s="76"/>
    </row>
    <row r="927">
      <c r="B927" s="76"/>
    </row>
    <row r="928">
      <c r="B928" s="76"/>
    </row>
    <row r="929">
      <c r="B929" s="76"/>
    </row>
    <row r="930">
      <c r="B930" s="76"/>
    </row>
    <row r="931">
      <c r="B931" s="76"/>
    </row>
    <row r="932">
      <c r="B932" s="76"/>
    </row>
    <row r="933">
      <c r="B933" s="76"/>
    </row>
    <row r="934">
      <c r="B934" s="76"/>
    </row>
    <row r="935">
      <c r="B935" s="76"/>
    </row>
    <row r="936">
      <c r="B936" s="76"/>
    </row>
    <row r="937">
      <c r="B937" s="76"/>
    </row>
    <row r="938">
      <c r="B938" s="76"/>
    </row>
    <row r="939">
      <c r="B939" s="76"/>
    </row>
    <row r="940">
      <c r="B940" s="76"/>
    </row>
    <row r="941">
      <c r="B941" s="76"/>
    </row>
    <row r="942">
      <c r="B942" s="76"/>
    </row>
    <row r="943">
      <c r="B943" s="76"/>
    </row>
    <row r="944">
      <c r="B944" s="76"/>
    </row>
    <row r="945">
      <c r="B945" s="76"/>
    </row>
    <row r="946">
      <c r="B946" s="76"/>
    </row>
    <row r="947">
      <c r="B947" s="76"/>
    </row>
    <row r="948">
      <c r="B948" s="76"/>
    </row>
    <row r="949">
      <c r="B949" s="76"/>
    </row>
    <row r="950">
      <c r="B950" s="76"/>
    </row>
    <row r="951">
      <c r="B951" s="76"/>
    </row>
    <row r="952">
      <c r="B952" s="76"/>
    </row>
    <row r="953">
      <c r="B953" s="76"/>
    </row>
    <row r="954">
      <c r="B954" s="76"/>
    </row>
    <row r="955">
      <c r="B955" s="76"/>
    </row>
    <row r="956">
      <c r="B956" s="76"/>
    </row>
    <row r="957">
      <c r="B957" s="76"/>
    </row>
    <row r="958">
      <c r="B958" s="76"/>
    </row>
    <row r="959">
      <c r="B959" s="76"/>
    </row>
    <row r="960">
      <c r="B960" s="76"/>
    </row>
    <row r="961">
      <c r="B961" s="76"/>
    </row>
    <row r="962">
      <c r="B962" s="76"/>
    </row>
    <row r="963">
      <c r="B963" s="76"/>
    </row>
    <row r="964">
      <c r="B964" s="76"/>
    </row>
    <row r="965">
      <c r="B965" s="76"/>
    </row>
    <row r="966">
      <c r="B966" s="76"/>
    </row>
    <row r="967">
      <c r="B967" s="76"/>
    </row>
    <row r="968">
      <c r="B968" s="76"/>
    </row>
    <row r="969">
      <c r="B969" s="76"/>
    </row>
    <row r="970">
      <c r="B970" s="76"/>
    </row>
    <row r="971">
      <c r="B971" s="76"/>
    </row>
    <row r="972">
      <c r="B972" s="76"/>
    </row>
    <row r="973">
      <c r="B973" s="76"/>
    </row>
    <row r="974">
      <c r="B974" s="76"/>
    </row>
    <row r="975">
      <c r="B975" s="76"/>
    </row>
    <row r="976">
      <c r="B976" s="76"/>
    </row>
    <row r="977">
      <c r="B977" s="76"/>
    </row>
    <row r="978">
      <c r="B978" s="76"/>
    </row>
    <row r="979">
      <c r="B979" s="76"/>
    </row>
    <row r="980">
      <c r="B980" s="76"/>
    </row>
    <row r="981">
      <c r="B981" s="76"/>
    </row>
    <row r="982">
      <c r="B982" s="76"/>
    </row>
    <row r="983">
      <c r="B983" s="76"/>
    </row>
    <row r="984">
      <c r="B984" s="76"/>
    </row>
    <row r="985">
      <c r="B985" s="76"/>
    </row>
    <row r="986">
      <c r="B986" s="76"/>
    </row>
    <row r="987">
      <c r="B987" s="76"/>
    </row>
    <row r="988">
      <c r="B988" s="76"/>
    </row>
    <row r="989">
      <c r="B989" s="76"/>
    </row>
    <row r="990">
      <c r="B990" s="76"/>
    </row>
    <row r="991">
      <c r="B991" s="76"/>
    </row>
    <row r="992">
      <c r="B992" s="76"/>
    </row>
    <row r="993">
      <c r="B993" s="76"/>
    </row>
    <row r="994">
      <c r="B994" s="76"/>
    </row>
    <row r="995">
      <c r="B995" s="76"/>
    </row>
    <row r="996">
      <c r="B996" s="76"/>
    </row>
    <row r="997">
      <c r="B997" s="76"/>
    </row>
    <row r="998">
      <c r="B998" s="76"/>
    </row>
    <row r="999">
      <c r="B999" s="76"/>
    </row>
  </sheetData>
  <mergeCells count="9">
    <mergeCell ref="A49:C49"/>
    <mergeCell ref="A61:C61"/>
    <mergeCell ref="A1:C1"/>
    <mergeCell ref="A3:C3"/>
    <mergeCell ref="A16:C16"/>
    <mergeCell ref="A22:C22"/>
    <mergeCell ref="A27:C27"/>
    <mergeCell ref="A29:C29"/>
    <mergeCell ref="A39:C39"/>
  </mergeCells>
  <dataValidations>
    <dataValidation type="list" allowBlank="1" showErrorMessage="1" sqref="B19">
      <formula1>Assumptions!$B$24:$B$26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6" max="6" width="16.13"/>
    <col customWidth="1" min="11" max="11" width="18.75"/>
    <col customWidth="1" min="12" max="12" width="13.63"/>
    <col customWidth="1" min="14" max="14" width="75.88"/>
  </cols>
  <sheetData>
    <row r="1">
      <c r="A1" s="1" t="s">
        <v>0</v>
      </c>
    </row>
    <row r="2">
      <c r="A2" s="2" t="s">
        <v>3</v>
      </c>
      <c r="B2" s="2" t="s">
        <v>5</v>
      </c>
      <c r="C2" s="2" t="s">
        <v>8</v>
      </c>
      <c r="D2" s="2" t="s">
        <v>10</v>
      </c>
      <c r="E2" s="2" t="s">
        <v>12</v>
      </c>
      <c r="F2" s="2" t="s">
        <v>14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22</v>
      </c>
      <c r="L2" s="2" t="s">
        <v>25</v>
      </c>
      <c r="M2" s="2" t="s">
        <v>27</v>
      </c>
      <c r="N2" s="2" t="s">
        <v>29</v>
      </c>
    </row>
    <row r="3">
      <c r="A3" s="4" t="s">
        <v>15</v>
      </c>
    </row>
    <row r="4">
      <c r="A4" s="5" t="s">
        <v>21</v>
      </c>
      <c r="B4" s="10">
        <v>137.0</v>
      </c>
      <c r="C4" s="6">
        <v>2282.0</v>
      </c>
      <c r="D4" s="12">
        <v>5.55</v>
      </c>
      <c r="E4" s="15">
        <v>14.72</v>
      </c>
      <c r="F4" s="6">
        <v>33601.0</v>
      </c>
      <c r="G4" s="6">
        <v>9230.0</v>
      </c>
      <c r="H4" s="18">
        <v>0.275</v>
      </c>
      <c r="I4" s="18">
        <v>0.027</v>
      </c>
      <c r="J4" s="10">
        <v>916.0</v>
      </c>
      <c r="K4" s="21"/>
      <c r="L4" s="21"/>
      <c r="M4" s="10">
        <v>394.0</v>
      </c>
      <c r="N4" s="10" t="s">
        <v>40</v>
      </c>
    </row>
    <row r="5">
      <c r="A5" s="16" t="s">
        <v>33</v>
      </c>
      <c r="B5" s="25">
        <v>142.0</v>
      </c>
      <c r="C5" s="19">
        <v>2441.0</v>
      </c>
      <c r="D5" s="12">
        <v>5.73</v>
      </c>
      <c r="E5" s="27">
        <v>14.45</v>
      </c>
      <c r="F5" s="19">
        <v>35281.0</v>
      </c>
      <c r="G5" s="19">
        <v>9292.0</v>
      </c>
      <c r="H5" s="32">
        <v>0.263</v>
      </c>
      <c r="I5" s="32">
        <v>0.031</v>
      </c>
      <c r="J5" s="19">
        <v>1092.0</v>
      </c>
      <c r="K5" s="35"/>
      <c r="L5" s="35"/>
      <c r="M5" s="25">
        <v>221.0</v>
      </c>
      <c r="N5" s="25" t="s">
        <v>58</v>
      </c>
    </row>
    <row r="6">
      <c r="A6" s="5" t="s">
        <v>42</v>
      </c>
      <c r="B6" s="10">
        <v>150.0</v>
      </c>
      <c r="C6" s="6">
        <v>2601.0</v>
      </c>
      <c r="D6" s="12">
        <v>5.78</v>
      </c>
      <c r="E6" s="15">
        <v>14.45</v>
      </c>
      <c r="F6" s="6">
        <v>37575.0</v>
      </c>
      <c r="G6" s="6">
        <v>9936.0</v>
      </c>
      <c r="H6" s="18">
        <v>0.264</v>
      </c>
      <c r="I6" s="18">
        <v>0.034</v>
      </c>
      <c r="J6" s="6">
        <v>1283.0</v>
      </c>
      <c r="K6" s="21"/>
      <c r="L6" s="21"/>
      <c r="M6" s="6">
        <v>1429.0</v>
      </c>
      <c r="N6" s="10" t="s">
        <v>64</v>
      </c>
    </row>
    <row r="7">
      <c r="A7" s="16" t="s">
        <v>43</v>
      </c>
      <c r="B7" s="25">
        <v>149.0</v>
      </c>
      <c r="C7" s="19">
        <v>2572.0</v>
      </c>
      <c r="D7" s="12">
        <v>5.75</v>
      </c>
      <c r="E7" s="27">
        <v>14.64</v>
      </c>
      <c r="F7" s="19">
        <v>37651.0</v>
      </c>
      <c r="G7" s="19">
        <v>10131.0</v>
      </c>
      <c r="H7" s="32">
        <v>0.269</v>
      </c>
      <c r="I7" s="32">
        <v>0.037</v>
      </c>
      <c r="J7" s="19">
        <v>1382.0</v>
      </c>
      <c r="K7" s="35"/>
      <c r="L7" s="35"/>
      <c r="M7" s="25">
        <v>-654.0</v>
      </c>
      <c r="N7" s="25" t="s">
        <v>67</v>
      </c>
    </row>
    <row r="8">
      <c r="A8" s="5" t="s">
        <v>46</v>
      </c>
      <c r="B8" s="10">
        <v>156.0</v>
      </c>
      <c r="C8" s="6">
        <v>2765.0</v>
      </c>
      <c r="D8" s="12">
        <v>5.91</v>
      </c>
      <c r="E8" s="15">
        <v>14.45</v>
      </c>
      <c r="F8" s="6">
        <v>39952.0</v>
      </c>
      <c r="G8" s="6">
        <v>10700.0</v>
      </c>
      <c r="H8" s="18">
        <v>0.268</v>
      </c>
      <c r="I8" s="18">
        <v>0.039</v>
      </c>
      <c r="J8" s="6">
        <v>1570.0</v>
      </c>
      <c r="K8" s="21"/>
      <c r="L8" s="21"/>
      <c r="M8" s="6">
        <v>1015.0</v>
      </c>
      <c r="N8" s="10" t="s">
        <v>71</v>
      </c>
    </row>
    <row r="9">
      <c r="A9" s="16" t="s">
        <v>50</v>
      </c>
      <c r="B9" s="25">
        <v>161.0</v>
      </c>
      <c r="C9" s="19">
        <v>2868.0</v>
      </c>
      <c r="D9" s="12">
        <v>5.94</v>
      </c>
      <c r="E9" s="27">
        <v>14.29</v>
      </c>
      <c r="F9" s="19">
        <v>40973.0</v>
      </c>
      <c r="G9" s="19">
        <v>11188.0</v>
      </c>
      <c r="H9" s="32">
        <v>0.273</v>
      </c>
      <c r="I9" s="32">
        <v>0.041</v>
      </c>
      <c r="J9" s="19">
        <v>1690.0</v>
      </c>
      <c r="K9" s="35"/>
      <c r="L9" s="35"/>
      <c r="M9" s="19">
        <v>2612.0</v>
      </c>
      <c r="N9" s="25" t="s">
        <v>74</v>
      </c>
    </row>
    <row r="10">
      <c r="A10" s="5" t="s">
        <v>55</v>
      </c>
      <c r="B10" s="10">
        <v>171.0</v>
      </c>
      <c r="C10" s="6">
        <v>3068.0</v>
      </c>
      <c r="D10" s="12">
        <v>5.98</v>
      </c>
      <c r="E10" s="15">
        <v>14.41</v>
      </c>
      <c r="F10" s="6">
        <v>44197.0</v>
      </c>
      <c r="G10" s="6">
        <v>11959.0</v>
      </c>
      <c r="H10" s="18">
        <v>0.271</v>
      </c>
      <c r="I10" s="18">
        <v>0.042</v>
      </c>
      <c r="J10" s="6">
        <v>1842.0</v>
      </c>
      <c r="K10" s="6">
        <v>1318.0</v>
      </c>
      <c r="L10" s="32">
        <f t="shared" ref="L10:L11" si="1">K10/J10</f>
        <v>0.7155266015</v>
      </c>
      <c r="M10" s="6">
        <v>6883.0</v>
      </c>
      <c r="N10" s="10" t="s">
        <v>77</v>
      </c>
    </row>
    <row r="11">
      <c r="A11" s="16" t="s">
        <v>57</v>
      </c>
      <c r="B11" s="25">
        <v>170.0</v>
      </c>
      <c r="C11" s="19">
        <v>3036.0</v>
      </c>
      <c r="D11" s="12">
        <v>5.95</v>
      </c>
      <c r="E11" s="27">
        <v>14.1</v>
      </c>
      <c r="F11" s="19">
        <v>42818.0</v>
      </c>
      <c r="G11" s="19">
        <v>11533.0</v>
      </c>
      <c r="H11" s="32">
        <v>0.269</v>
      </c>
      <c r="I11" s="32">
        <v>0.044</v>
      </c>
      <c r="J11" s="19">
        <v>1868.0</v>
      </c>
      <c r="K11" s="19">
        <v>1326.0</v>
      </c>
      <c r="L11" s="32">
        <f t="shared" si="1"/>
        <v>0.7098501071</v>
      </c>
      <c r="M11" s="19">
        <v>1776.0</v>
      </c>
      <c r="N11" s="25" t="s">
        <v>79</v>
      </c>
    </row>
    <row r="12">
      <c r="A12" s="5" t="s">
        <v>60</v>
      </c>
      <c r="B12" s="10">
        <v>180.0</v>
      </c>
      <c r="C12" s="6">
        <v>3268.0</v>
      </c>
      <c r="D12" s="12">
        <v>6.05</v>
      </c>
      <c r="E12" s="15">
        <v>14.31</v>
      </c>
      <c r="F12" s="6">
        <v>46756.0</v>
      </c>
      <c r="G12" s="6">
        <v>12651.0</v>
      </c>
      <c r="H12" s="18">
        <v>0.271</v>
      </c>
      <c r="I12" s="18">
        <v>0.045</v>
      </c>
      <c r="J12" s="6">
        <v>2119.0</v>
      </c>
      <c r="K12" s="21"/>
      <c r="L12" s="41"/>
      <c r="M12" s="6">
        <v>1355.0</v>
      </c>
      <c r="N12" s="10" t="s">
        <v>82</v>
      </c>
    </row>
    <row r="13">
      <c r="A13" s="16" t="s">
        <v>63</v>
      </c>
      <c r="B13" s="25">
        <v>189.0</v>
      </c>
      <c r="C13" s="19">
        <v>3512.0</v>
      </c>
      <c r="D13" s="12">
        <v>6.19</v>
      </c>
      <c r="E13" s="27">
        <v>14.16</v>
      </c>
      <c r="F13" s="19">
        <v>49740.0</v>
      </c>
      <c r="G13" s="19">
        <v>13467.0</v>
      </c>
      <c r="H13" s="32">
        <v>0.271</v>
      </c>
      <c r="I13" s="32">
        <v>0.045</v>
      </c>
      <c r="J13" s="19">
        <v>2256.0</v>
      </c>
      <c r="K13" s="35"/>
      <c r="L13" s="32"/>
      <c r="M13" s="19">
        <v>6626.0</v>
      </c>
      <c r="N13" s="25" t="s">
        <v>83</v>
      </c>
    </row>
    <row r="14">
      <c r="A14" s="5" t="s">
        <v>65</v>
      </c>
      <c r="B14" s="10">
        <v>202.0</v>
      </c>
      <c r="C14" s="6">
        <v>3751.0</v>
      </c>
      <c r="D14" s="12">
        <v>6.19</v>
      </c>
      <c r="E14" s="15">
        <v>14.43</v>
      </c>
      <c r="F14" s="6">
        <v>54140.0</v>
      </c>
      <c r="G14" s="6">
        <v>14366.0</v>
      </c>
      <c r="H14" s="18">
        <v>0.265</v>
      </c>
      <c r="I14" s="18">
        <v>0.046</v>
      </c>
      <c r="J14" s="6">
        <v>2487.0</v>
      </c>
      <c r="K14" s="6">
        <v>1918.0</v>
      </c>
      <c r="L14" s="18">
        <f t="shared" ref="L14:L15" si="2">K14/J14</f>
        <v>0.7712102935</v>
      </c>
      <c r="M14" s="10">
        <v>296.0</v>
      </c>
      <c r="N14" s="10" t="s">
        <v>87</v>
      </c>
    </row>
    <row r="15">
      <c r="A15" s="16" t="s">
        <v>66</v>
      </c>
      <c r="B15" s="25">
        <v>199.0</v>
      </c>
      <c r="C15" s="19">
        <v>3643.0</v>
      </c>
      <c r="D15" s="12">
        <v>6.1</v>
      </c>
      <c r="E15" s="27">
        <v>14.75</v>
      </c>
      <c r="F15" s="19">
        <v>53720.0</v>
      </c>
      <c r="G15" s="19">
        <v>13203.0</v>
      </c>
      <c r="H15" s="32">
        <v>0.246</v>
      </c>
      <c r="I15" s="32">
        <v>0.046</v>
      </c>
      <c r="J15" s="19">
        <v>2481.0</v>
      </c>
      <c r="K15" s="19">
        <v>1883.0</v>
      </c>
      <c r="L15" s="32">
        <f t="shared" si="2"/>
        <v>0.758968158</v>
      </c>
      <c r="M15" s="25">
        <v>263.0</v>
      </c>
      <c r="N15" s="25" t="s">
        <v>90</v>
      </c>
    </row>
    <row r="16">
      <c r="A16" s="7" t="s">
        <v>91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49"/>
      <c r="M16" s="7"/>
      <c r="N16" s="7"/>
    </row>
    <row r="17">
      <c r="A17" s="38" t="s">
        <v>69</v>
      </c>
      <c r="B17" s="52">
        <f>B12*(1+Assumptions!B4)</f>
        <v>211.5</v>
      </c>
      <c r="C17" s="39">
        <f>B17*D17*3</f>
        <v>3953.88675</v>
      </c>
      <c r="D17" s="55">
        <f>D12*(1+Assumptions!B8)</f>
        <v>6.2315</v>
      </c>
      <c r="E17" s="58">
        <f>Assumptions!B13</f>
        <v>14.43</v>
      </c>
      <c r="F17" s="39">
        <f>E17*C17</f>
        <v>57054.5858</v>
      </c>
      <c r="G17" s="39">
        <f>'Segment - Revenue'!E18</f>
        <v>13882.26507</v>
      </c>
      <c r="H17" s="60">
        <f>G17/F17</f>
        <v>0.2433155</v>
      </c>
      <c r="I17" s="60">
        <f>Assumptions!B19</f>
        <v>0.0485</v>
      </c>
      <c r="J17" s="39">
        <f>Assumptions!B19*F17</f>
        <v>2767.147411</v>
      </c>
      <c r="K17" s="39">
        <f>'Segment - NGOP'!F19</f>
        <v>1967.586769</v>
      </c>
      <c r="L17" s="62">
        <f>K17/J17</f>
        <v>0.7110523858</v>
      </c>
      <c r="M17" s="63"/>
      <c r="N17" s="64" t="s">
        <v>103</v>
      </c>
    </row>
    <row r="18">
      <c r="A18" s="8" t="s">
        <v>105</v>
      </c>
    </row>
    <row r="19">
      <c r="B19" s="65"/>
    </row>
    <row r="20">
      <c r="E20" s="66"/>
    </row>
    <row r="21">
      <c r="E21" s="66"/>
    </row>
    <row r="22">
      <c r="E22" s="66"/>
    </row>
    <row r="23">
      <c r="E23" s="66"/>
    </row>
    <row r="24">
      <c r="E24" s="66"/>
    </row>
    <row r="25">
      <c r="E25" s="66"/>
    </row>
    <row r="26">
      <c r="E26" s="66"/>
    </row>
    <row r="27">
      <c r="E27" s="66"/>
    </row>
    <row r="28">
      <c r="E28" s="66"/>
    </row>
    <row r="29">
      <c r="E29" s="66"/>
    </row>
    <row r="30">
      <c r="E30" s="66"/>
    </row>
    <row r="31">
      <c r="E31" s="66"/>
    </row>
    <row r="32">
      <c r="E32" s="66"/>
    </row>
    <row r="33">
      <c r="E33" s="66"/>
    </row>
    <row r="34">
      <c r="E34" s="66"/>
    </row>
    <row r="35">
      <c r="E35" s="66"/>
    </row>
    <row r="36">
      <c r="E36" s="66"/>
    </row>
    <row r="37">
      <c r="E37" s="66"/>
    </row>
    <row r="38">
      <c r="E38" s="66"/>
    </row>
    <row r="39">
      <c r="E39" s="66"/>
    </row>
    <row r="40">
      <c r="E40" s="66"/>
    </row>
    <row r="41">
      <c r="E41" s="66"/>
    </row>
    <row r="42">
      <c r="E42" s="66"/>
    </row>
    <row r="43">
      <c r="E43" s="66"/>
    </row>
    <row r="44">
      <c r="E44" s="66"/>
    </row>
    <row r="45">
      <c r="E45" s="66"/>
    </row>
  </sheetData>
  <mergeCells count="3">
    <mergeCell ref="A1:N1"/>
    <mergeCell ref="A3:N3"/>
    <mergeCell ref="A18:N1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sheetData>
    <row r="1">
      <c r="A1" s="1" t="s">
        <v>2</v>
      </c>
    </row>
    <row r="2">
      <c r="A2" s="2" t="s">
        <v>3</v>
      </c>
      <c r="B2" s="2" t="s">
        <v>4</v>
      </c>
      <c r="C2" s="2" t="s">
        <v>7</v>
      </c>
      <c r="D2" s="2" t="s">
        <v>9</v>
      </c>
      <c r="E2" s="2" t="s">
        <v>11</v>
      </c>
      <c r="F2" s="2" t="s">
        <v>13</v>
      </c>
    </row>
    <row r="3">
      <c r="A3" s="4" t="s">
        <v>15</v>
      </c>
    </row>
    <row r="4">
      <c r="A4" s="5" t="s">
        <v>21</v>
      </c>
      <c r="B4" s="6">
        <v>16728.0</v>
      </c>
      <c r="C4" s="6">
        <v>15595.0</v>
      </c>
      <c r="D4" s="6">
        <v>1278.0</v>
      </c>
      <c r="E4" s="6">
        <v>33601.0</v>
      </c>
      <c r="F4" s="13" t="s">
        <v>31</v>
      </c>
    </row>
    <row r="5">
      <c r="A5" s="16" t="s">
        <v>33</v>
      </c>
      <c r="B5" s="19">
        <v>17903.0</v>
      </c>
      <c r="C5" s="19">
        <v>16094.0</v>
      </c>
      <c r="D5" s="19">
        <v>1284.0</v>
      </c>
      <c r="E5" s="19">
        <v>35281.0</v>
      </c>
      <c r="F5" s="23" t="s">
        <v>31</v>
      </c>
    </row>
    <row r="6">
      <c r="A6" s="5" t="s">
        <v>42</v>
      </c>
      <c r="B6" s="6">
        <v>19285.0</v>
      </c>
      <c r="C6" s="6">
        <v>17011.0</v>
      </c>
      <c r="D6" s="6">
        <v>1279.0</v>
      </c>
      <c r="E6" s="6">
        <v>37575.0</v>
      </c>
      <c r="F6" s="13" t="s">
        <v>31</v>
      </c>
    </row>
    <row r="7">
      <c r="A7" s="16" t="s">
        <v>43</v>
      </c>
      <c r="B7" s="19">
        <v>18670.0</v>
      </c>
      <c r="C7" s="19">
        <v>17699.0</v>
      </c>
      <c r="D7" s="19">
        <v>1282.0</v>
      </c>
      <c r="E7" s="19">
        <v>37651.0</v>
      </c>
      <c r="F7" s="23" t="s">
        <v>31</v>
      </c>
    </row>
    <row r="8">
      <c r="A8" s="5" t="s">
        <v>46</v>
      </c>
      <c r="B8" s="6">
        <v>20554.0</v>
      </c>
      <c r="C8" s="6">
        <v>18126.0</v>
      </c>
      <c r="D8" s="6">
        <v>1272.0</v>
      </c>
      <c r="E8" s="6">
        <v>39952.0</v>
      </c>
      <c r="F8" s="13" t="s">
        <v>31</v>
      </c>
    </row>
    <row r="9">
      <c r="A9" s="16" t="s">
        <v>50</v>
      </c>
      <c r="B9" s="19">
        <v>21002.0</v>
      </c>
      <c r="C9" s="19">
        <v>18663.0</v>
      </c>
      <c r="D9" s="19">
        <v>1308.0</v>
      </c>
      <c r="E9" s="19">
        <v>40973.0</v>
      </c>
      <c r="F9" s="23" t="s">
        <v>31</v>
      </c>
    </row>
    <row r="10">
      <c r="A10" s="5" t="s">
        <v>55</v>
      </c>
      <c r="B10" s="6">
        <v>22798.0</v>
      </c>
      <c r="C10" s="6">
        <v>20126.0</v>
      </c>
      <c r="D10" s="6">
        <v>1273.0</v>
      </c>
      <c r="E10" s="6">
        <v>44197.0</v>
      </c>
      <c r="F10" s="13" t="s">
        <v>31</v>
      </c>
    </row>
    <row r="11">
      <c r="A11" s="16" t="s">
        <v>57</v>
      </c>
      <c r="B11" s="19">
        <v>21182.0</v>
      </c>
      <c r="C11" s="19">
        <v>20377.0</v>
      </c>
      <c r="D11" s="19">
        <v>1259.0</v>
      </c>
      <c r="E11" s="19">
        <v>42818.0</v>
      </c>
      <c r="F11" s="23" t="s">
        <v>31</v>
      </c>
    </row>
    <row r="12">
      <c r="A12" s="5" t="s">
        <v>60</v>
      </c>
      <c r="B12" s="6">
        <v>23762.0</v>
      </c>
      <c r="C12" s="6">
        <v>21734.0</v>
      </c>
      <c r="D12" s="6">
        <v>1260.0</v>
      </c>
      <c r="E12" s="6">
        <v>46756.0</v>
      </c>
      <c r="F12" s="13" t="s">
        <v>31</v>
      </c>
    </row>
    <row r="13">
      <c r="A13" s="16" t="s">
        <v>63</v>
      </c>
      <c r="B13" s="19">
        <v>25111.0</v>
      </c>
      <c r="C13" s="19">
        <v>23322.0</v>
      </c>
      <c r="D13" s="19">
        <v>1307.0</v>
      </c>
      <c r="E13" s="19">
        <v>49740.0</v>
      </c>
      <c r="F13" s="23" t="s">
        <v>31</v>
      </c>
    </row>
    <row r="14">
      <c r="A14" s="5" t="s">
        <v>65</v>
      </c>
      <c r="B14" s="6">
        <v>27442.0</v>
      </c>
      <c r="C14" s="6">
        <v>25431.0</v>
      </c>
      <c r="D14" s="6">
        <v>1267.0</v>
      </c>
      <c r="E14" s="6">
        <v>54140.0</v>
      </c>
      <c r="F14" s="13" t="s">
        <v>31</v>
      </c>
    </row>
    <row r="15">
      <c r="A15" s="16" t="s">
        <v>66</v>
      </c>
      <c r="B15" s="19">
        <v>26394.0</v>
      </c>
      <c r="C15" s="19">
        <v>25992.0</v>
      </c>
      <c r="D15" s="19">
        <v>1334.0</v>
      </c>
      <c r="E15" s="19">
        <v>53720.0</v>
      </c>
      <c r="F15" s="23" t="s">
        <v>31</v>
      </c>
    </row>
    <row r="16">
      <c r="A16" s="7" t="s">
        <v>68</v>
      </c>
    </row>
    <row r="17">
      <c r="A17" s="38" t="s">
        <v>69</v>
      </c>
      <c r="B17" s="39">
        <f>Consolidated!F17*Assumptions!B30</f>
        <v>27842.63787</v>
      </c>
      <c r="C17" s="39">
        <f>Assumptions!B31*Consolidated!F17</f>
        <v>27899.69246</v>
      </c>
      <c r="D17" s="39">
        <f>Assumptions!B32*Consolidated!F17</f>
        <v>1312.255473</v>
      </c>
      <c r="E17" s="39">
        <f>sum(B17:D17)</f>
        <v>57054.5858</v>
      </c>
      <c r="F17" s="40">
        <f>E17-Consolidated!F17</f>
        <v>0</v>
      </c>
    </row>
    <row r="19">
      <c r="A19" s="4" t="s">
        <v>78</v>
      </c>
    </row>
    <row r="20">
      <c r="A20" s="5" t="s">
        <v>21</v>
      </c>
      <c r="B20" s="18">
        <f t="shared" ref="B20:D20" si="1">B4/$E4</f>
        <v>0.4978423261</v>
      </c>
      <c r="C20" s="18">
        <f t="shared" si="1"/>
        <v>0.4641230916</v>
      </c>
      <c r="D20" s="18">
        <f t="shared" si="1"/>
        <v>0.0380345823</v>
      </c>
      <c r="E20" s="6">
        <f t="shared" ref="E20:E31" si="3">E4</f>
        <v>33601</v>
      </c>
      <c r="F20" s="44">
        <f t="shared" ref="F20:F31" si="4">1-sum(B20:D20)</f>
        <v>0</v>
      </c>
    </row>
    <row r="21">
      <c r="A21" s="16" t="s">
        <v>33</v>
      </c>
      <c r="B21" s="18">
        <f t="shared" ref="B21:D21" si="2">B5/$E5</f>
        <v>0.5074402653</v>
      </c>
      <c r="C21" s="18">
        <f t="shared" si="2"/>
        <v>0.4561662084</v>
      </c>
      <c r="D21" s="18">
        <f t="shared" si="2"/>
        <v>0.03639352626</v>
      </c>
      <c r="E21" s="6">
        <f t="shared" si="3"/>
        <v>35281</v>
      </c>
      <c r="F21" s="44">
        <f t="shared" si="4"/>
        <v>0</v>
      </c>
    </row>
    <row r="22">
      <c r="A22" s="5" t="s">
        <v>42</v>
      </c>
      <c r="B22" s="18">
        <f t="shared" ref="B22:D22" si="5">B6/$E6</f>
        <v>0.5132401863</v>
      </c>
      <c r="C22" s="18">
        <f t="shared" si="5"/>
        <v>0.4527212242</v>
      </c>
      <c r="D22" s="18">
        <f t="shared" si="5"/>
        <v>0.03403858949</v>
      </c>
      <c r="E22" s="6">
        <f t="shared" si="3"/>
        <v>37575</v>
      </c>
      <c r="F22" s="44">
        <f t="shared" si="4"/>
        <v>0</v>
      </c>
    </row>
    <row r="23">
      <c r="A23" s="16" t="s">
        <v>43</v>
      </c>
      <c r="B23" s="18">
        <f t="shared" ref="B23:D23" si="6">B7/$E7</f>
        <v>0.4958699636</v>
      </c>
      <c r="C23" s="18">
        <f t="shared" si="6"/>
        <v>0.470080476</v>
      </c>
      <c r="D23" s="18">
        <f t="shared" si="6"/>
        <v>0.03404956044</v>
      </c>
      <c r="E23" s="6">
        <f t="shared" si="3"/>
        <v>37651</v>
      </c>
      <c r="F23" s="44">
        <f t="shared" si="4"/>
        <v>0</v>
      </c>
    </row>
    <row r="24">
      <c r="A24" s="5" t="s">
        <v>46</v>
      </c>
      <c r="B24" s="18">
        <f t="shared" ref="B24:D24" si="7">B8/$E8</f>
        <v>0.5144673608</v>
      </c>
      <c r="C24" s="18">
        <f t="shared" si="7"/>
        <v>0.4536944333</v>
      </c>
      <c r="D24" s="18">
        <f t="shared" si="7"/>
        <v>0.03183820585</v>
      </c>
      <c r="E24" s="6">
        <f t="shared" si="3"/>
        <v>39952</v>
      </c>
      <c r="F24" s="44">
        <f t="shared" si="4"/>
        <v>0</v>
      </c>
    </row>
    <row r="25">
      <c r="A25" s="16" t="s">
        <v>50</v>
      </c>
      <c r="B25" s="18">
        <f t="shared" ref="B25:D25" si="8">B9/$E9</f>
        <v>0.5125814561</v>
      </c>
      <c r="C25" s="18">
        <f t="shared" si="8"/>
        <v>0.4554950821</v>
      </c>
      <c r="D25" s="18">
        <f t="shared" si="8"/>
        <v>0.03192346179</v>
      </c>
      <c r="E25" s="6">
        <f t="shared" si="3"/>
        <v>40973</v>
      </c>
      <c r="F25" s="44">
        <f t="shared" si="4"/>
        <v>0</v>
      </c>
    </row>
    <row r="26">
      <c r="A26" s="5" t="s">
        <v>55</v>
      </c>
      <c r="B26" s="18">
        <f t="shared" ref="B26:D26" si="9">B10/$E10</f>
        <v>0.5158268661</v>
      </c>
      <c r="C26" s="18">
        <f t="shared" si="9"/>
        <v>0.455370274</v>
      </c>
      <c r="D26" s="18">
        <f t="shared" si="9"/>
        <v>0.02880285992</v>
      </c>
      <c r="E26" s="6">
        <f t="shared" si="3"/>
        <v>44197</v>
      </c>
      <c r="F26" s="44">
        <f t="shared" si="4"/>
        <v>0</v>
      </c>
    </row>
    <row r="27">
      <c r="A27" s="16" t="s">
        <v>57</v>
      </c>
      <c r="B27" s="18">
        <f t="shared" ref="B27:D27" si="10">B11/$E11</f>
        <v>0.4946984913</v>
      </c>
      <c r="C27" s="18">
        <f t="shared" si="10"/>
        <v>0.4758979868</v>
      </c>
      <c r="D27" s="18">
        <f t="shared" si="10"/>
        <v>0.02940352188</v>
      </c>
      <c r="E27" s="6">
        <f t="shared" si="3"/>
        <v>42818</v>
      </c>
      <c r="F27" s="44">
        <f t="shared" si="4"/>
        <v>0</v>
      </c>
    </row>
    <row r="28">
      <c r="A28" s="5" t="s">
        <v>60</v>
      </c>
      <c r="B28" s="18">
        <f t="shared" ref="B28:D28" si="11">B12/$E12</f>
        <v>0.5082128497</v>
      </c>
      <c r="C28" s="18">
        <f t="shared" si="11"/>
        <v>0.4648387373</v>
      </c>
      <c r="D28" s="18">
        <f t="shared" si="11"/>
        <v>0.02694841304</v>
      </c>
      <c r="E28" s="6">
        <f t="shared" si="3"/>
        <v>46756</v>
      </c>
      <c r="F28" s="44">
        <f t="shared" si="4"/>
        <v>0</v>
      </c>
    </row>
    <row r="29">
      <c r="A29" s="16" t="s">
        <v>63</v>
      </c>
      <c r="B29" s="18">
        <f t="shared" ref="B29:D29" si="12">B13/$E13</f>
        <v>0.504845195</v>
      </c>
      <c r="C29" s="18">
        <f t="shared" si="12"/>
        <v>0.4688781665</v>
      </c>
      <c r="D29" s="18">
        <f t="shared" si="12"/>
        <v>0.02627663852</v>
      </c>
      <c r="E29" s="6">
        <f t="shared" si="3"/>
        <v>49740</v>
      </c>
      <c r="F29" s="44">
        <f t="shared" si="4"/>
        <v>0</v>
      </c>
    </row>
    <row r="30">
      <c r="A30" s="5" t="s">
        <v>65</v>
      </c>
      <c r="B30" s="18">
        <f t="shared" ref="B30:D30" si="13">B14/$E14</f>
        <v>0.506871075</v>
      </c>
      <c r="C30" s="18">
        <f t="shared" si="13"/>
        <v>0.4697266347</v>
      </c>
      <c r="D30" s="18">
        <f t="shared" si="13"/>
        <v>0.02340229036</v>
      </c>
      <c r="E30" s="6">
        <f t="shared" si="3"/>
        <v>54140</v>
      </c>
      <c r="F30" s="44">
        <f t="shared" si="4"/>
        <v>0</v>
      </c>
    </row>
    <row r="31">
      <c r="A31" s="16" t="s">
        <v>66</v>
      </c>
      <c r="B31" s="18">
        <f t="shared" ref="B31:D31" si="14">B15/$E15</f>
        <v>0.4913253909</v>
      </c>
      <c r="C31" s="18">
        <f t="shared" si="14"/>
        <v>0.4838421445</v>
      </c>
      <c r="D31" s="18">
        <f t="shared" si="14"/>
        <v>0.02483246463</v>
      </c>
      <c r="E31" s="6">
        <f t="shared" si="3"/>
        <v>53720</v>
      </c>
      <c r="F31" s="44">
        <f t="shared" si="4"/>
        <v>0</v>
      </c>
    </row>
    <row r="32">
      <c r="A32" s="7" t="s">
        <v>68</v>
      </c>
      <c r="B32" s="7"/>
      <c r="C32" s="7"/>
      <c r="D32" s="7"/>
      <c r="E32" s="7"/>
      <c r="F32" s="7"/>
    </row>
    <row r="33">
      <c r="A33" s="68" t="s">
        <v>69</v>
      </c>
      <c r="B33" s="69">
        <f t="shared" ref="B33:D33" si="15">B17/$E17</f>
        <v>0.488</v>
      </c>
      <c r="C33" s="69">
        <f t="shared" si="15"/>
        <v>0.489</v>
      </c>
      <c r="D33" s="69">
        <f t="shared" si="15"/>
        <v>0.023</v>
      </c>
      <c r="E33" s="70">
        <f>E17</f>
        <v>57054.5858</v>
      </c>
      <c r="F33" s="71">
        <f>1-sum(B33:D33)</f>
        <v>0</v>
      </c>
    </row>
  </sheetData>
  <mergeCells count="4">
    <mergeCell ref="A1:F1"/>
    <mergeCell ref="A3:F3"/>
    <mergeCell ref="A16:F16"/>
    <mergeCell ref="A19:F1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9" max="9" width="10.38"/>
  </cols>
  <sheetData>
    <row r="1">
      <c r="A1" s="1" t="s">
        <v>23</v>
      </c>
    </row>
    <row r="2">
      <c r="A2" s="8" t="s">
        <v>28</v>
      </c>
    </row>
    <row r="3">
      <c r="A3" s="2" t="s">
        <v>3</v>
      </c>
      <c r="B3" s="2" t="s">
        <v>4</v>
      </c>
      <c r="C3" s="2" t="s">
        <v>7</v>
      </c>
      <c r="D3" s="2" t="s">
        <v>9</v>
      </c>
      <c r="E3" s="2" t="s">
        <v>11</v>
      </c>
      <c r="F3" s="2" t="s">
        <v>13</v>
      </c>
      <c r="G3" s="2" t="s">
        <v>35</v>
      </c>
      <c r="H3" s="2" t="s">
        <v>36</v>
      </c>
      <c r="I3" s="2" t="s">
        <v>37</v>
      </c>
    </row>
    <row r="4">
      <c r="A4" s="4" t="s">
        <v>15</v>
      </c>
    </row>
    <row r="5">
      <c r="A5" s="22" t="s">
        <v>21</v>
      </c>
      <c r="B5" s="24">
        <v>4894.0</v>
      </c>
      <c r="C5" s="24">
        <v>3057.0</v>
      </c>
      <c r="D5" s="24">
        <v>1279.0</v>
      </c>
      <c r="E5" s="6">
        <v>9230.0</v>
      </c>
      <c r="F5" s="28" t="s">
        <v>31</v>
      </c>
      <c r="G5" s="18">
        <v>0.293</v>
      </c>
      <c r="H5" s="18">
        <v>0.196</v>
      </c>
      <c r="I5" s="29">
        <v>1.001</v>
      </c>
    </row>
    <row r="6">
      <c r="A6" s="30" t="s">
        <v>33</v>
      </c>
      <c r="B6" s="31">
        <v>5071.0</v>
      </c>
      <c r="C6" s="31">
        <v>2935.0</v>
      </c>
      <c r="D6" s="31">
        <v>1286.0</v>
      </c>
      <c r="E6" s="19">
        <v>9292.0</v>
      </c>
      <c r="F6" s="33" t="s">
        <v>31</v>
      </c>
      <c r="G6" s="32">
        <v>0.283</v>
      </c>
      <c r="H6" s="32">
        <v>0.182</v>
      </c>
      <c r="I6" s="36">
        <v>1.002</v>
      </c>
    </row>
    <row r="7">
      <c r="A7" s="22" t="s">
        <v>42</v>
      </c>
      <c r="B7" s="24">
        <v>5537.0</v>
      </c>
      <c r="C7" s="24">
        <v>3119.0</v>
      </c>
      <c r="D7" s="24">
        <v>1280.0</v>
      </c>
      <c r="E7" s="6">
        <v>9936.0</v>
      </c>
      <c r="F7" s="28" t="s">
        <v>31</v>
      </c>
      <c r="G7" s="18">
        <v>0.287</v>
      </c>
      <c r="H7" s="18">
        <v>0.183</v>
      </c>
      <c r="I7" s="29">
        <v>1.001</v>
      </c>
    </row>
    <row r="8">
      <c r="A8" s="30" t="s">
        <v>43</v>
      </c>
      <c r="B8" s="31">
        <v>5633.0</v>
      </c>
      <c r="C8" s="31">
        <v>3214.0</v>
      </c>
      <c r="D8" s="31">
        <v>1284.0</v>
      </c>
      <c r="E8" s="19">
        <v>10131.0</v>
      </c>
      <c r="F8" s="33" t="s">
        <v>31</v>
      </c>
      <c r="G8" s="32">
        <v>0.302</v>
      </c>
      <c r="H8" s="32">
        <v>0.182</v>
      </c>
      <c r="I8" s="36">
        <v>1.002</v>
      </c>
    </row>
    <row r="9">
      <c r="A9" s="22" t="s">
        <v>46</v>
      </c>
      <c r="B9" s="24">
        <v>6134.0</v>
      </c>
      <c r="C9" s="24">
        <v>3293.0</v>
      </c>
      <c r="D9" s="24">
        <v>1273.0</v>
      </c>
      <c r="E9" s="6">
        <v>10700.0</v>
      </c>
      <c r="F9" s="28" t="s">
        <v>31</v>
      </c>
      <c r="G9" s="18">
        <v>0.298</v>
      </c>
      <c r="H9" s="18">
        <v>0.182</v>
      </c>
      <c r="I9" s="29">
        <v>1.001</v>
      </c>
    </row>
    <row r="10">
      <c r="A10" s="30" t="s">
        <v>50</v>
      </c>
      <c r="B10" s="31">
        <v>6409.0</v>
      </c>
      <c r="C10" s="31">
        <v>3470.0</v>
      </c>
      <c r="D10" s="31">
        <v>1309.0</v>
      </c>
      <c r="E10" s="19">
        <v>11188.0</v>
      </c>
      <c r="F10" s="33" t="s">
        <v>31</v>
      </c>
      <c r="G10" s="32">
        <v>0.305</v>
      </c>
      <c r="H10" s="32">
        <v>0.186</v>
      </c>
      <c r="I10" s="36">
        <v>1.001</v>
      </c>
    </row>
    <row r="11">
      <c r="A11" s="22" t="s">
        <v>55</v>
      </c>
      <c r="B11" s="24">
        <v>6911.0</v>
      </c>
      <c r="C11" s="24">
        <v>3773.0</v>
      </c>
      <c r="D11" s="24">
        <v>1275.0</v>
      </c>
      <c r="E11" s="6">
        <v>11959.0</v>
      </c>
      <c r="F11" s="28" t="s">
        <v>31</v>
      </c>
      <c r="G11" s="18">
        <v>0.303</v>
      </c>
      <c r="H11" s="18">
        <v>0.187</v>
      </c>
      <c r="I11" s="29">
        <v>1.002</v>
      </c>
    </row>
    <row r="12">
      <c r="A12" s="30" t="s">
        <v>57</v>
      </c>
      <c r="B12" s="31">
        <v>6496.0</v>
      </c>
      <c r="C12" s="31">
        <v>3777.0</v>
      </c>
      <c r="D12" s="31">
        <v>1260.0</v>
      </c>
      <c r="E12" s="19">
        <v>11533.0</v>
      </c>
      <c r="F12" s="33" t="s">
        <v>31</v>
      </c>
      <c r="G12" s="32">
        <v>0.307</v>
      </c>
      <c r="H12" s="32">
        <v>0.185</v>
      </c>
      <c r="I12" s="36">
        <v>1.001</v>
      </c>
    </row>
    <row r="13">
      <c r="A13" s="22" t="s">
        <v>60</v>
      </c>
      <c r="B13" s="24">
        <v>7288.0</v>
      </c>
      <c r="C13" s="24">
        <v>4102.0</v>
      </c>
      <c r="D13" s="24">
        <v>1261.0</v>
      </c>
      <c r="E13" s="6">
        <v>12651.0</v>
      </c>
      <c r="F13" s="28" t="s">
        <v>31</v>
      </c>
      <c r="G13" s="18">
        <v>0.307</v>
      </c>
      <c r="H13" s="18">
        <v>0.189</v>
      </c>
      <c r="I13" s="29">
        <v>1.001</v>
      </c>
    </row>
    <row r="14">
      <c r="A14" s="30" t="s">
        <v>63</v>
      </c>
      <c r="B14" s="31">
        <v>7682.0</v>
      </c>
      <c r="C14" s="31">
        <v>4477.0</v>
      </c>
      <c r="D14" s="31">
        <v>1308.0</v>
      </c>
      <c r="E14" s="19">
        <v>13467.0</v>
      </c>
      <c r="F14" s="33" t="s">
        <v>31</v>
      </c>
      <c r="G14" s="32">
        <v>0.306</v>
      </c>
      <c r="H14" s="32">
        <v>0.192</v>
      </c>
      <c r="I14" s="36">
        <v>1.001</v>
      </c>
    </row>
    <row r="15">
      <c r="A15" s="22" t="s">
        <v>65</v>
      </c>
      <c r="B15" s="24">
        <v>8204.0</v>
      </c>
      <c r="C15" s="24">
        <v>4892.0</v>
      </c>
      <c r="D15" s="24">
        <v>1270.0</v>
      </c>
      <c r="E15" s="6">
        <v>14366.0</v>
      </c>
      <c r="F15" s="28" t="s">
        <v>31</v>
      </c>
      <c r="G15" s="18">
        <v>0.299</v>
      </c>
      <c r="H15" s="18">
        <v>0.192</v>
      </c>
      <c r="I15" s="29">
        <v>1.002</v>
      </c>
    </row>
    <row r="16">
      <c r="A16" s="30" t="s">
        <v>66</v>
      </c>
      <c r="B16" s="31">
        <v>6798.0</v>
      </c>
      <c r="C16" s="31">
        <v>5068.0</v>
      </c>
      <c r="D16" s="31">
        <v>1337.0</v>
      </c>
      <c r="E16" s="19">
        <v>13203.0</v>
      </c>
      <c r="F16" s="33" t="s">
        <v>31</v>
      </c>
      <c r="G16" s="32">
        <v>0.258</v>
      </c>
      <c r="H16" s="32">
        <v>0.195</v>
      </c>
      <c r="I16" s="36">
        <v>1.002</v>
      </c>
    </row>
    <row r="17">
      <c r="A17" s="7" t="s">
        <v>68</v>
      </c>
    </row>
    <row r="18">
      <c r="A18" s="42" t="s">
        <v>69</v>
      </c>
      <c r="B18" s="48">
        <f>G18*'Segment - Gross Bookings'!B17</f>
        <v>7183.400571</v>
      </c>
      <c r="C18" s="48">
        <f>H18*'Segment - Gross Bookings'!C17</f>
        <v>5384.640644</v>
      </c>
      <c r="D18" s="48">
        <f>I18*'Segment - Gross Bookings'!D17</f>
        <v>1314.223857</v>
      </c>
      <c r="E18" s="39">
        <f>SUM(B18:D18)</f>
        <v>13882.26507</v>
      </c>
      <c r="F18" s="39">
        <f>E18-Consolidated!G17</f>
        <v>0</v>
      </c>
      <c r="G18" s="60">
        <f>Assumptions!B40</f>
        <v>0.258</v>
      </c>
      <c r="H18" s="60">
        <f>Assumptions!B41</f>
        <v>0.193</v>
      </c>
      <c r="I18" s="61">
        <f>Assumptions!B42</f>
        <v>1.0015</v>
      </c>
    </row>
    <row r="20">
      <c r="A20" s="4" t="s">
        <v>78</v>
      </c>
    </row>
    <row r="21">
      <c r="A21" s="5" t="s">
        <v>21</v>
      </c>
      <c r="B21" s="18">
        <f t="shared" ref="B21:D21" si="1">B5/$E5</f>
        <v>0.530227519</v>
      </c>
      <c r="C21" s="18">
        <f t="shared" si="1"/>
        <v>0.3312026002</v>
      </c>
      <c r="D21" s="18">
        <f t="shared" si="1"/>
        <v>0.1385698808</v>
      </c>
      <c r="E21" s="6">
        <f t="shared" ref="E21:E32" si="3">E5</f>
        <v>9230</v>
      </c>
      <c r="F21" s="44">
        <f t="shared" ref="F21:F32" si="4">1-sum(B21:D21)</f>
        <v>0</v>
      </c>
      <c r="G21" s="67" t="s">
        <v>108</v>
      </c>
    </row>
    <row r="22">
      <c r="A22" s="16" t="s">
        <v>33</v>
      </c>
      <c r="B22" s="18">
        <f t="shared" ref="B22:D22" si="2">B6/$E6</f>
        <v>0.5457382695</v>
      </c>
      <c r="C22" s="18">
        <f t="shared" si="2"/>
        <v>0.315863108</v>
      </c>
      <c r="D22" s="18">
        <f t="shared" si="2"/>
        <v>0.1383986225</v>
      </c>
      <c r="E22" s="6">
        <f t="shared" si="3"/>
        <v>9292</v>
      </c>
      <c r="F22" s="44">
        <f t="shared" si="4"/>
        <v>0</v>
      </c>
      <c r="G22" s="66"/>
    </row>
    <row r="23">
      <c r="A23" s="5" t="s">
        <v>42</v>
      </c>
      <c r="B23" s="18">
        <f t="shared" ref="B23:D23" si="5">B7/$E7</f>
        <v>0.5572665056</v>
      </c>
      <c r="C23" s="18">
        <f t="shared" si="5"/>
        <v>0.3139090177</v>
      </c>
      <c r="D23" s="18">
        <f t="shared" si="5"/>
        <v>0.1288244767</v>
      </c>
      <c r="E23" s="6">
        <f t="shared" si="3"/>
        <v>9936</v>
      </c>
      <c r="F23" s="44">
        <f t="shared" si="4"/>
        <v>0</v>
      </c>
    </row>
    <row r="24">
      <c r="A24" s="16" t="s">
        <v>43</v>
      </c>
      <c r="B24" s="18">
        <f t="shared" ref="B24:D24" si="6">B8/$E8</f>
        <v>0.5560161879</v>
      </c>
      <c r="C24" s="18">
        <f t="shared" si="6"/>
        <v>0.3172441023</v>
      </c>
      <c r="D24" s="18">
        <f t="shared" si="6"/>
        <v>0.1267397098</v>
      </c>
      <c r="E24" s="6">
        <f t="shared" si="3"/>
        <v>10131</v>
      </c>
      <c r="F24" s="44">
        <f t="shared" si="4"/>
        <v>0</v>
      </c>
    </row>
    <row r="25">
      <c r="A25" s="5" t="s">
        <v>46</v>
      </c>
      <c r="B25" s="18">
        <f t="shared" ref="B25:D25" si="7">B9/$E9</f>
        <v>0.573271028</v>
      </c>
      <c r="C25" s="18">
        <f t="shared" si="7"/>
        <v>0.3077570093</v>
      </c>
      <c r="D25" s="18">
        <f t="shared" si="7"/>
        <v>0.1189719626</v>
      </c>
      <c r="E25" s="6">
        <f t="shared" si="3"/>
        <v>10700</v>
      </c>
      <c r="F25" s="44">
        <f t="shared" si="4"/>
        <v>0</v>
      </c>
    </row>
    <row r="26">
      <c r="A26" s="16" t="s">
        <v>50</v>
      </c>
      <c r="B26" s="18">
        <f t="shared" ref="B26:D26" si="8">B10/$E10</f>
        <v>0.5728459063</v>
      </c>
      <c r="C26" s="18">
        <f t="shared" si="8"/>
        <v>0.3101537361</v>
      </c>
      <c r="D26" s="18">
        <f t="shared" si="8"/>
        <v>0.1170003575</v>
      </c>
      <c r="E26" s="6">
        <f t="shared" si="3"/>
        <v>11188</v>
      </c>
      <c r="F26" s="44">
        <f t="shared" si="4"/>
        <v>0</v>
      </c>
    </row>
    <row r="27">
      <c r="A27" s="5" t="s">
        <v>55</v>
      </c>
      <c r="B27" s="18">
        <f t="shared" ref="B27:D27" si="9">B11/$E11</f>
        <v>0.577891128</v>
      </c>
      <c r="C27" s="18">
        <f t="shared" si="9"/>
        <v>0.3154946066</v>
      </c>
      <c r="D27" s="18">
        <f t="shared" si="9"/>
        <v>0.1066142654</v>
      </c>
      <c r="E27" s="6">
        <f t="shared" si="3"/>
        <v>11959</v>
      </c>
      <c r="F27" s="44">
        <f t="shared" si="4"/>
        <v>0</v>
      </c>
    </row>
    <row r="28">
      <c r="A28" s="16" t="s">
        <v>57</v>
      </c>
      <c r="B28" s="18">
        <f t="shared" ref="B28:D28" si="10">B12/$E12</f>
        <v>0.5632532732</v>
      </c>
      <c r="C28" s="18">
        <f t="shared" si="10"/>
        <v>0.3274950143</v>
      </c>
      <c r="D28" s="18">
        <f t="shared" si="10"/>
        <v>0.1092517125</v>
      </c>
      <c r="E28" s="6">
        <f t="shared" si="3"/>
        <v>11533</v>
      </c>
      <c r="F28" s="44">
        <f t="shared" si="4"/>
        <v>0</v>
      </c>
    </row>
    <row r="29">
      <c r="A29" s="5" t="s">
        <v>60</v>
      </c>
      <c r="B29" s="18">
        <f t="shared" ref="B29:D29" si="11">B13/$E13</f>
        <v>0.5760809422</v>
      </c>
      <c r="C29" s="18">
        <f t="shared" si="11"/>
        <v>0.3242431428</v>
      </c>
      <c r="D29" s="18">
        <f t="shared" si="11"/>
        <v>0.09967591495</v>
      </c>
      <c r="E29" s="6">
        <f t="shared" si="3"/>
        <v>12651</v>
      </c>
      <c r="F29" s="44">
        <f t="shared" si="4"/>
        <v>0</v>
      </c>
    </row>
    <row r="30">
      <c r="A30" s="16" t="s">
        <v>63</v>
      </c>
      <c r="B30" s="18">
        <f t="shared" ref="B30:D30" si="12">B14/$E14</f>
        <v>0.570431425</v>
      </c>
      <c r="C30" s="18">
        <f t="shared" si="12"/>
        <v>0.3324422663</v>
      </c>
      <c r="D30" s="18">
        <f t="shared" si="12"/>
        <v>0.09712630875</v>
      </c>
      <c r="E30" s="6">
        <f t="shared" si="3"/>
        <v>13467</v>
      </c>
      <c r="F30" s="44">
        <f t="shared" si="4"/>
        <v>0</v>
      </c>
    </row>
    <row r="31">
      <c r="A31" s="5" t="s">
        <v>65</v>
      </c>
      <c r="B31" s="18">
        <f t="shared" ref="B31:D31" si="13">B15/$E15</f>
        <v>0.5710705833</v>
      </c>
      <c r="C31" s="18">
        <f t="shared" si="13"/>
        <v>0.3405262425</v>
      </c>
      <c r="D31" s="18">
        <f t="shared" si="13"/>
        <v>0.08840317416</v>
      </c>
      <c r="E31" s="6">
        <f t="shared" si="3"/>
        <v>14366</v>
      </c>
      <c r="F31" s="44">
        <f t="shared" si="4"/>
        <v>0</v>
      </c>
    </row>
    <row r="32">
      <c r="A32" s="16" t="s">
        <v>66</v>
      </c>
      <c r="B32" s="18">
        <f t="shared" ref="B32:D32" si="14">B16/$E16</f>
        <v>0.5148829811</v>
      </c>
      <c r="C32" s="18">
        <f t="shared" si="14"/>
        <v>0.3838521548</v>
      </c>
      <c r="D32" s="18">
        <f t="shared" si="14"/>
        <v>0.101264864</v>
      </c>
      <c r="E32" s="6">
        <f t="shared" si="3"/>
        <v>13203</v>
      </c>
      <c r="F32" s="44">
        <f t="shared" si="4"/>
        <v>0</v>
      </c>
    </row>
    <row r="33">
      <c r="A33" s="7" t="s">
        <v>68</v>
      </c>
      <c r="B33" s="7"/>
      <c r="C33" s="7"/>
      <c r="D33" s="7"/>
      <c r="E33" s="7"/>
      <c r="F33" s="7"/>
    </row>
    <row r="34">
      <c r="A34" s="68" t="s">
        <v>69</v>
      </c>
      <c r="B34" s="69">
        <f t="shared" ref="B34:D34" si="15">B18/$E18</f>
        <v>0.5174516215</v>
      </c>
      <c r="C34" s="69">
        <f t="shared" si="15"/>
        <v>0.3878791117</v>
      </c>
      <c r="D34" s="69">
        <f t="shared" si="15"/>
        <v>0.09466926686</v>
      </c>
      <c r="E34" s="70">
        <f>E18</f>
        <v>13882.26507</v>
      </c>
      <c r="F34" s="71">
        <f>1-sum(B34:D34)</f>
        <v>0</v>
      </c>
    </row>
  </sheetData>
  <mergeCells count="5">
    <mergeCell ref="A1:I1"/>
    <mergeCell ref="A2:I2"/>
    <mergeCell ref="A4:I4"/>
    <mergeCell ref="A17:I17"/>
    <mergeCell ref="A20:F2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7" max="7" width="32.75"/>
  </cols>
  <sheetData>
    <row r="1">
      <c r="A1" s="1" t="s">
        <v>145</v>
      </c>
    </row>
    <row r="2">
      <c r="A2" s="8" t="s">
        <v>147</v>
      </c>
    </row>
    <row r="3">
      <c r="A3" s="2" t="s">
        <v>3</v>
      </c>
      <c r="B3" s="2" t="s">
        <v>4</v>
      </c>
      <c r="C3" s="2" t="s">
        <v>7</v>
      </c>
      <c r="D3" s="2" t="s">
        <v>9</v>
      </c>
      <c r="E3" s="2" t="s">
        <v>150</v>
      </c>
      <c r="F3" s="2" t="s">
        <v>151</v>
      </c>
      <c r="G3" s="2" t="s">
        <v>13</v>
      </c>
      <c r="H3" s="2" t="s">
        <v>152</v>
      </c>
      <c r="I3" s="2" t="s">
        <v>153</v>
      </c>
    </row>
    <row r="4">
      <c r="A4" s="4" t="s">
        <v>15</v>
      </c>
    </row>
    <row r="5">
      <c r="A5" s="22" t="s">
        <v>21</v>
      </c>
      <c r="B5" s="24">
        <v>1170.0</v>
      </c>
      <c r="C5" s="77">
        <v>329.0</v>
      </c>
      <c r="D5" s="77">
        <v>-14.0</v>
      </c>
      <c r="E5" s="77">
        <v>-569.0</v>
      </c>
      <c r="F5" s="10">
        <v>916.0</v>
      </c>
      <c r="G5" s="28" t="s">
        <v>31</v>
      </c>
      <c r="H5" s="18">
        <v>0.07</v>
      </c>
      <c r="I5" s="29">
        <v>0.021</v>
      </c>
    </row>
    <row r="6">
      <c r="A6" s="30" t="s">
        <v>33</v>
      </c>
      <c r="B6" s="31">
        <v>1287.0</v>
      </c>
      <c r="C6" s="80">
        <v>413.0</v>
      </c>
      <c r="D6" s="80">
        <v>-13.0</v>
      </c>
      <c r="E6" s="80">
        <v>-595.0</v>
      </c>
      <c r="F6" s="19">
        <v>1092.0</v>
      </c>
      <c r="G6" s="33" t="s">
        <v>31</v>
      </c>
      <c r="H6" s="32">
        <v>0.072</v>
      </c>
      <c r="I6" s="36">
        <v>0.026</v>
      </c>
    </row>
    <row r="7">
      <c r="A7" s="22" t="s">
        <v>42</v>
      </c>
      <c r="B7" s="24">
        <v>1446.0</v>
      </c>
      <c r="C7" s="77">
        <v>476.0</v>
      </c>
      <c r="D7" s="77">
        <v>-14.0</v>
      </c>
      <c r="E7" s="77">
        <v>-625.0</v>
      </c>
      <c r="F7" s="6">
        <v>1283.0</v>
      </c>
      <c r="G7" s="28" t="s">
        <v>31</v>
      </c>
      <c r="H7" s="18">
        <v>0.075</v>
      </c>
      <c r="I7" s="29">
        <v>0.028</v>
      </c>
    </row>
    <row r="8">
      <c r="A8" s="30" t="s">
        <v>43</v>
      </c>
      <c r="B8" s="31">
        <v>1479.0</v>
      </c>
      <c r="C8" s="80">
        <v>528.0</v>
      </c>
      <c r="D8" s="80">
        <v>-21.0</v>
      </c>
      <c r="E8" s="80">
        <v>-604.0</v>
      </c>
      <c r="F8" s="19">
        <v>1382.0</v>
      </c>
      <c r="G8" s="33" t="s">
        <v>31</v>
      </c>
      <c r="H8" s="32">
        <v>0.079</v>
      </c>
      <c r="I8" s="36">
        <v>0.03</v>
      </c>
    </row>
    <row r="9">
      <c r="A9" s="22" t="s">
        <v>46</v>
      </c>
      <c r="B9" s="24">
        <v>1567.0</v>
      </c>
      <c r="C9" s="77">
        <v>588.0</v>
      </c>
      <c r="D9" s="77">
        <v>-12.0</v>
      </c>
      <c r="E9" s="77">
        <v>-573.0</v>
      </c>
      <c r="F9" s="6">
        <v>1570.0</v>
      </c>
      <c r="G9" s="28" t="s">
        <v>31</v>
      </c>
      <c r="H9" s="18">
        <v>0.076</v>
      </c>
      <c r="I9" s="29">
        <v>0.032</v>
      </c>
    </row>
    <row r="10">
      <c r="A10" s="30" t="s">
        <v>50</v>
      </c>
      <c r="B10" s="31">
        <v>1682.0</v>
      </c>
      <c r="C10" s="80">
        <v>628.0</v>
      </c>
      <c r="D10" s="80">
        <v>-19.0</v>
      </c>
      <c r="E10" s="80">
        <v>-601.0</v>
      </c>
      <c r="F10" s="19">
        <v>1690.0</v>
      </c>
      <c r="G10" s="33" t="s">
        <v>31</v>
      </c>
      <c r="H10" s="32">
        <v>0.08</v>
      </c>
      <c r="I10" s="36">
        <v>0.034</v>
      </c>
    </row>
    <row r="11">
      <c r="A11" s="22" t="s">
        <v>55</v>
      </c>
      <c r="B11" s="24">
        <v>1769.0</v>
      </c>
      <c r="C11" s="77">
        <v>727.0</v>
      </c>
      <c r="D11" s="77">
        <v>-22.0</v>
      </c>
      <c r="E11" s="77">
        <v>-632.0</v>
      </c>
      <c r="F11" s="6">
        <v>1842.0</v>
      </c>
      <c r="G11" s="28" t="s">
        <v>31</v>
      </c>
      <c r="H11" s="18">
        <v>0.078</v>
      </c>
      <c r="I11" s="29">
        <v>0.036</v>
      </c>
    </row>
    <row r="12">
      <c r="A12" s="30" t="s">
        <v>57</v>
      </c>
      <c r="B12" s="31">
        <v>1753.0</v>
      </c>
      <c r="C12" s="80">
        <v>763.0</v>
      </c>
      <c r="D12" s="80">
        <v>-7.0</v>
      </c>
      <c r="E12" s="80">
        <v>-641.0</v>
      </c>
      <c r="F12" s="19">
        <v>1868.0</v>
      </c>
      <c r="G12" s="33" t="s">
        <v>31</v>
      </c>
      <c r="H12" s="32">
        <v>0.083</v>
      </c>
      <c r="I12" s="36">
        <v>0.037</v>
      </c>
    </row>
    <row r="13">
      <c r="A13" s="22" t="s">
        <v>60</v>
      </c>
      <c r="B13" s="24">
        <v>1905.0</v>
      </c>
      <c r="C13" s="77">
        <v>873.0</v>
      </c>
      <c r="D13" s="77">
        <v>-6.0</v>
      </c>
      <c r="E13" s="77">
        <v>-653.0</v>
      </c>
      <c r="F13" s="6">
        <v>2119.0</v>
      </c>
      <c r="G13" s="28" t="s">
        <v>31</v>
      </c>
      <c r="H13" s="18">
        <v>0.08</v>
      </c>
      <c r="I13" s="29">
        <v>0.04</v>
      </c>
    </row>
    <row r="14">
      <c r="A14" s="30" t="s">
        <v>63</v>
      </c>
      <c r="B14" s="31">
        <v>2038.0</v>
      </c>
      <c r="C14" s="80">
        <v>921.0</v>
      </c>
      <c r="D14" s="80">
        <v>-20.0</v>
      </c>
      <c r="E14" s="80">
        <v>-683.0</v>
      </c>
      <c r="F14" s="19">
        <v>2256.0</v>
      </c>
      <c r="G14" s="33" t="s">
        <v>31</v>
      </c>
      <c r="H14" s="32">
        <v>0.081</v>
      </c>
      <c r="I14" s="36">
        <v>0.039</v>
      </c>
    </row>
    <row r="15">
      <c r="A15" s="22" t="s">
        <v>65</v>
      </c>
      <c r="B15" s="24">
        <v>2203.0</v>
      </c>
      <c r="C15" s="24">
        <v>1015.0</v>
      </c>
      <c r="D15" s="77">
        <v>0.0</v>
      </c>
      <c r="E15" s="77">
        <v>-731.0</v>
      </c>
      <c r="F15" s="6">
        <v>2487.0</v>
      </c>
      <c r="G15" s="28" t="s">
        <v>31</v>
      </c>
      <c r="H15" s="18">
        <v>0.08</v>
      </c>
      <c r="I15" s="29">
        <v>0.04</v>
      </c>
    </row>
    <row r="16">
      <c r="A16" s="30" t="s">
        <v>66</v>
      </c>
      <c r="B16" s="83" t="s">
        <v>159</v>
      </c>
      <c r="C16" s="83" t="s">
        <v>159</v>
      </c>
      <c r="D16" s="83" t="s">
        <v>159</v>
      </c>
      <c r="E16" s="83" t="s">
        <v>159</v>
      </c>
      <c r="F16" s="83" t="s">
        <v>159</v>
      </c>
      <c r="G16" s="83" t="s">
        <v>161</v>
      </c>
      <c r="H16" s="82"/>
      <c r="I16" s="84"/>
    </row>
    <row r="17">
      <c r="A17" s="7" t="s">
        <v>68</v>
      </c>
    </row>
    <row r="18">
      <c r="A18" s="42" t="s">
        <v>69</v>
      </c>
      <c r="B18" s="87" t="s">
        <v>159</v>
      </c>
      <c r="C18" s="87" t="s">
        <v>159</v>
      </c>
      <c r="D18" s="87" t="s">
        <v>159</v>
      </c>
      <c r="E18" s="87" t="s">
        <v>159</v>
      </c>
      <c r="F18" s="87" t="s">
        <v>159</v>
      </c>
      <c r="G18" s="87" t="s">
        <v>165</v>
      </c>
      <c r="H18" s="89"/>
      <c r="I18" s="90"/>
    </row>
  </sheetData>
  <mergeCells count="4">
    <mergeCell ref="A1:I1"/>
    <mergeCell ref="A2:I2"/>
    <mergeCell ref="A4:I4"/>
    <mergeCell ref="A17:I1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6" max="6" width="18.13"/>
  </cols>
  <sheetData>
    <row r="1">
      <c r="A1" s="1" t="s">
        <v>146</v>
      </c>
    </row>
    <row r="2">
      <c r="A2" s="8" t="s">
        <v>148</v>
      </c>
    </row>
    <row r="3">
      <c r="A3" s="46" t="s">
        <v>149</v>
      </c>
    </row>
    <row r="4">
      <c r="A4" s="2" t="s">
        <v>3</v>
      </c>
      <c r="B4" s="2" t="s">
        <v>4</v>
      </c>
      <c r="C4" s="2" t="s">
        <v>7</v>
      </c>
      <c r="D4" s="2" t="s">
        <v>9</v>
      </c>
      <c r="E4" s="2" t="s">
        <v>150</v>
      </c>
      <c r="F4" s="2" t="s">
        <v>154</v>
      </c>
      <c r="G4" s="2" t="s">
        <v>13</v>
      </c>
      <c r="H4" s="2" t="s">
        <v>152</v>
      </c>
      <c r="I4" s="2" t="s">
        <v>153</v>
      </c>
      <c r="J4" s="2" t="s">
        <v>155</v>
      </c>
      <c r="K4" s="2" t="s">
        <v>156</v>
      </c>
    </row>
    <row r="5">
      <c r="A5" s="4" t="s">
        <v>157</v>
      </c>
    </row>
    <row r="6">
      <c r="A6" s="22" t="s">
        <v>21</v>
      </c>
      <c r="B6" s="78" t="s">
        <v>158</v>
      </c>
      <c r="C6" s="78" t="s">
        <v>158</v>
      </c>
      <c r="D6" s="78" t="s">
        <v>158</v>
      </c>
      <c r="E6" s="78" t="s">
        <v>158</v>
      </c>
      <c r="F6" s="78" t="s">
        <v>158</v>
      </c>
      <c r="G6" s="78" t="s">
        <v>158</v>
      </c>
      <c r="H6" s="79"/>
      <c r="I6" s="79"/>
      <c r="J6" s="79"/>
      <c r="K6" s="79"/>
    </row>
    <row r="7">
      <c r="A7" s="30" t="s">
        <v>33</v>
      </c>
      <c r="B7" s="81" t="s">
        <v>158</v>
      </c>
      <c r="C7" s="81" t="s">
        <v>158</v>
      </c>
      <c r="D7" s="81" t="s">
        <v>158</v>
      </c>
      <c r="E7" s="81" t="s">
        <v>158</v>
      </c>
      <c r="F7" s="81" t="s">
        <v>158</v>
      </c>
      <c r="G7" s="81" t="s">
        <v>158</v>
      </c>
      <c r="H7" s="82"/>
      <c r="I7" s="82"/>
      <c r="J7" s="82"/>
      <c r="K7" s="82"/>
    </row>
    <row r="8">
      <c r="A8" s="22" t="s">
        <v>42</v>
      </c>
      <c r="B8" s="78" t="s">
        <v>158</v>
      </c>
      <c r="C8" s="78" t="s">
        <v>158</v>
      </c>
      <c r="D8" s="78" t="s">
        <v>158</v>
      </c>
      <c r="E8" s="78" t="s">
        <v>158</v>
      </c>
      <c r="F8" s="78" t="s">
        <v>158</v>
      </c>
      <c r="G8" s="78" t="s">
        <v>158</v>
      </c>
      <c r="H8" s="79"/>
      <c r="I8" s="79"/>
      <c r="J8" s="79"/>
      <c r="K8" s="79"/>
    </row>
    <row r="9">
      <c r="A9" s="30" t="s">
        <v>43</v>
      </c>
      <c r="B9" s="81" t="s">
        <v>158</v>
      </c>
      <c r="C9" s="81" t="s">
        <v>158</v>
      </c>
      <c r="D9" s="81" t="s">
        <v>158</v>
      </c>
      <c r="E9" s="81" t="s">
        <v>158</v>
      </c>
      <c r="F9" s="81" t="s">
        <v>158</v>
      </c>
      <c r="G9" s="81" t="s">
        <v>158</v>
      </c>
      <c r="H9" s="82"/>
      <c r="I9" s="82"/>
      <c r="J9" s="82"/>
      <c r="K9" s="82"/>
    </row>
    <row r="10">
      <c r="A10" s="22" t="s">
        <v>46</v>
      </c>
      <c r="B10" s="78" t="s">
        <v>158</v>
      </c>
      <c r="C10" s="78" t="s">
        <v>158</v>
      </c>
      <c r="D10" s="78" t="s">
        <v>158</v>
      </c>
      <c r="E10" s="78" t="s">
        <v>158</v>
      </c>
      <c r="F10" s="78" t="s">
        <v>158</v>
      </c>
      <c r="G10" s="78" t="s">
        <v>158</v>
      </c>
      <c r="H10" s="79"/>
      <c r="I10" s="79"/>
      <c r="J10" s="79"/>
      <c r="K10" s="79"/>
    </row>
    <row r="11">
      <c r="A11" s="30" t="s">
        <v>50</v>
      </c>
      <c r="B11" s="81" t="s">
        <v>158</v>
      </c>
      <c r="C11" s="81" t="s">
        <v>158</v>
      </c>
      <c r="D11" s="81" t="s">
        <v>158</v>
      </c>
      <c r="E11" s="81" t="s">
        <v>158</v>
      </c>
      <c r="F11" s="81" t="s">
        <v>158</v>
      </c>
      <c r="G11" s="81" t="s">
        <v>158</v>
      </c>
      <c r="H11" s="82"/>
      <c r="I11" s="82"/>
      <c r="J11" s="82"/>
      <c r="K11" s="82"/>
    </row>
    <row r="12">
      <c r="A12" s="22" t="s">
        <v>55</v>
      </c>
      <c r="B12" s="24">
        <v>1608.0</v>
      </c>
      <c r="C12" s="77">
        <v>639.0</v>
      </c>
      <c r="D12" s="77">
        <v>-41.0</v>
      </c>
      <c r="E12" s="77">
        <v>-888.0</v>
      </c>
      <c r="F12" s="6">
        <v>1318.0</v>
      </c>
      <c r="G12" s="28" t="s">
        <v>31</v>
      </c>
      <c r="H12" s="18">
        <v>0.071</v>
      </c>
      <c r="I12" s="18">
        <v>0.032</v>
      </c>
      <c r="J12" s="18">
        <v>-0.032</v>
      </c>
      <c r="K12" s="18">
        <v>-0.02</v>
      </c>
    </row>
    <row r="13">
      <c r="A13" s="30" t="s">
        <v>57</v>
      </c>
      <c r="B13" s="31">
        <v>1587.0</v>
      </c>
      <c r="C13" s="80">
        <v>671.0</v>
      </c>
      <c r="D13" s="80">
        <v>-25.0</v>
      </c>
      <c r="E13" s="80">
        <v>-907.0</v>
      </c>
      <c r="F13" s="19">
        <v>1326.0</v>
      </c>
      <c r="G13" s="33" t="s">
        <v>31</v>
      </c>
      <c r="H13" s="32">
        <v>0.075</v>
      </c>
      <c r="I13" s="32">
        <v>0.033</v>
      </c>
      <c r="J13" s="32">
        <v>-0.02</v>
      </c>
      <c r="K13" s="32">
        <v>-0.021</v>
      </c>
    </row>
    <row r="14">
      <c r="A14" s="22" t="s">
        <v>60</v>
      </c>
      <c r="B14" s="78" t="s">
        <v>158</v>
      </c>
      <c r="C14" s="78" t="s">
        <v>158</v>
      </c>
      <c r="D14" s="78" t="s">
        <v>158</v>
      </c>
      <c r="E14" s="78" t="s">
        <v>158</v>
      </c>
      <c r="F14" s="78" t="s">
        <v>158</v>
      </c>
      <c r="G14" s="78" t="s">
        <v>158</v>
      </c>
      <c r="H14" s="79"/>
      <c r="I14" s="79"/>
      <c r="J14" s="79"/>
      <c r="K14" s="79"/>
    </row>
    <row r="15">
      <c r="A15" s="30" t="s">
        <v>63</v>
      </c>
      <c r="B15" s="81" t="s">
        <v>158</v>
      </c>
      <c r="C15" s="81" t="s">
        <v>158</v>
      </c>
      <c r="D15" s="81" t="s">
        <v>158</v>
      </c>
      <c r="E15" s="81" t="s">
        <v>158</v>
      </c>
      <c r="F15" s="81" t="s">
        <v>158</v>
      </c>
      <c r="G15" s="81" t="s">
        <v>158</v>
      </c>
      <c r="H15" s="82"/>
      <c r="I15" s="82"/>
      <c r="J15" s="82"/>
      <c r="K15" s="82"/>
    </row>
    <row r="16">
      <c r="A16" s="22" t="s">
        <v>65</v>
      </c>
      <c r="B16" s="24">
        <v>2027.0</v>
      </c>
      <c r="C16" s="77">
        <v>905.0</v>
      </c>
      <c r="D16" s="77">
        <v>-18.0</v>
      </c>
      <c r="E16" s="77">
        <v>-996.0</v>
      </c>
      <c r="F16" s="6">
        <v>1918.0</v>
      </c>
      <c r="G16" s="28" t="s">
        <v>31</v>
      </c>
      <c r="H16" s="18">
        <v>0.074</v>
      </c>
      <c r="I16" s="18">
        <v>0.036</v>
      </c>
      <c r="J16" s="18">
        <v>-0.014</v>
      </c>
      <c r="K16" s="18">
        <v>-0.018</v>
      </c>
    </row>
    <row r="17">
      <c r="A17" s="30" t="s">
        <v>66</v>
      </c>
      <c r="B17" s="31">
        <v>2029.0</v>
      </c>
      <c r="C17" s="80">
        <v>961.0</v>
      </c>
      <c r="D17" s="80">
        <v>-30.0</v>
      </c>
      <c r="E17" s="31">
        <v>-1077.0</v>
      </c>
      <c r="F17" s="19">
        <v>1883.0</v>
      </c>
      <c r="G17" s="33" t="s">
        <v>31</v>
      </c>
      <c r="H17" s="32">
        <v>0.077</v>
      </c>
      <c r="I17" s="32">
        <v>0.037</v>
      </c>
      <c r="J17" s="32">
        <v>-0.022</v>
      </c>
      <c r="K17" s="32">
        <v>-0.02</v>
      </c>
    </row>
    <row r="18">
      <c r="A18" s="7" t="s">
        <v>68</v>
      </c>
    </row>
    <row r="19">
      <c r="A19" s="42" t="s">
        <v>69</v>
      </c>
      <c r="B19" s="48">
        <f>H19*'Segment - Gross Bookings'!B17</f>
        <v>2088.19784</v>
      </c>
      <c r="C19" s="48">
        <f>I19*'Segment - Gross Bookings'!C17</f>
        <v>1004.388928</v>
      </c>
      <c r="D19" s="93">
        <f>Assumptions!B52</f>
        <v>-28</v>
      </c>
      <c r="E19" s="48">
        <f>Assumptions!B53</f>
        <v>-1097</v>
      </c>
      <c r="F19" s="39">
        <f>sum(B19:E19)</f>
        <v>1967.586769</v>
      </c>
      <c r="G19" s="39">
        <f>F19-Consolidated!K17</f>
        <v>0</v>
      </c>
      <c r="H19" s="60">
        <f>Assumptions!B50</f>
        <v>0.075</v>
      </c>
      <c r="I19" s="60">
        <f>Assumptions!B51</f>
        <v>0.036</v>
      </c>
      <c r="J19" s="60"/>
      <c r="K19" s="60"/>
    </row>
  </sheetData>
  <mergeCells count="5">
    <mergeCell ref="A1:K1"/>
    <mergeCell ref="A2:K2"/>
    <mergeCell ref="A3:K3"/>
    <mergeCell ref="A5:K5"/>
    <mergeCell ref="A18:K1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63"/>
    <col customWidth="1" min="2" max="2" width="213.88"/>
  </cols>
  <sheetData>
    <row r="1">
      <c r="A1" s="1" t="s">
        <v>160</v>
      </c>
    </row>
    <row r="2">
      <c r="A2" s="85" t="s">
        <v>162</v>
      </c>
    </row>
    <row r="3">
      <c r="A3" s="86"/>
      <c r="B3" s="14" t="s">
        <v>163</v>
      </c>
    </row>
    <row r="4">
      <c r="A4" s="86"/>
      <c r="B4" s="88"/>
    </row>
    <row r="5">
      <c r="A5" s="85" t="s">
        <v>164</v>
      </c>
    </row>
    <row r="6">
      <c r="A6" s="86"/>
      <c r="B6" s="14" t="s">
        <v>166</v>
      </c>
    </row>
    <row r="7">
      <c r="A7" s="86"/>
      <c r="B7" s="88"/>
    </row>
    <row r="8">
      <c r="A8" s="86"/>
      <c r="B8" s="88"/>
    </row>
    <row r="9">
      <c r="A9" s="85" t="s">
        <v>167</v>
      </c>
    </row>
    <row r="10">
      <c r="A10" s="91" t="s">
        <v>168</v>
      </c>
      <c r="B10" s="92" t="s">
        <v>169</v>
      </c>
    </row>
    <row r="11">
      <c r="A11" s="91" t="s">
        <v>170</v>
      </c>
      <c r="B11" s="92" t="s">
        <v>171</v>
      </c>
    </row>
    <row r="12">
      <c r="A12" s="86"/>
      <c r="B12" s="88"/>
    </row>
    <row r="13">
      <c r="A13" s="85" t="s">
        <v>172</v>
      </c>
    </row>
    <row r="14">
      <c r="A14" s="91" t="s">
        <v>173</v>
      </c>
      <c r="B14" s="92" t="s">
        <v>174</v>
      </c>
    </row>
    <row r="15">
      <c r="A15" s="91" t="s">
        <v>175</v>
      </c>
      <c r="B15" s="92" t="s">
        <v>176</v>
      </c>
    </row>
    <row r="16">
      <c r="A16" s="91" t="s">
        <v>177</v>
      </c>
      <c r="B16" s="92" t="s">
        <v>178</v>
      </c>
    </row>
    <row r="17">
      <c r="A17" s="91" t="s">
        <v>17</v>
      </c>
      <c r="B17" s="92" t="s">
        <v>179</v>
      </c>
    </row>
    <row r="18">
      <c r="A18" s="91" t="s">
        <v>18</v>
      </c>
      <c r="B18" s="92" t="s">
        <v>180</v>
      </c>
    </row>
    <row r="19">
      <c r="A19" s="91" t="s">
        <v>181</v>
      </c>
      <c r="B19" s="92" t="s">
        <v>182</v>
      </c>
    </row>
    <row r="20">
      <c r="A20" s="86"/>
      <c r="B20" s="88"/>
    </row>
  </sheetData>
  <mergeCells count="5">
    <mergeCell ref="A1:B1"/>
    <mergeCell ref="A2:B2"/>
    <mergeCell ref="A5:B5"/>
    <mergeCell ref="A9:B9"/>
    <mergeCell ref="A13:B13"/>
  </mergeCells>
  <drawing r:id="rId1"/>
</worksheet>
</file>